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óm tắt" sheetId="1" state="visible" r:id="rId3"/>
    <sheet name="Tính năng rút gọn" sheetId="2" state="visible" r:id="rId4"/>
    <sheet name="Hoãn hoặc cắt" sheetId="3" state="visible" r:id="rId5"/>
    <sheet name="Triển khai cloud VN" sheetId="4" state="visible" r:id="rId6"/>
    <sheet name="Lưu ý và giả định" sheetId="5" state="visible" r:id="rId7"/>
  </sheets>
  <definedNames>
    <definedName function="false" hidden="true" localSheetId="2" name="_xlnm._FilterDatabase" vbProcedure="false">'Hoãn hoặc cắt'!$A$1:$E$42</definedName>
    <definedName function="false" hidden="true" localSheetId="1" name="_xlnm._FilterDatabase" vbProcedure="false">'Tính năng rút gọn'!$A$1:$I$66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<sst xmlns="http://schemas.openxmlformats.org/spreadsheetml/2006/main" count="859" uniqueCount="438">
  <si>
    <t xml:space="preserve">Danh sách tính năng rút gọn: triển khai cho một tỉnh</t>
  </si>
  <si>
    <t xml:space="preserve">Bản rút gọn từ danh sách 105 chức năng. Triển khai trên cloud trong nước (VNG/GreenNode, FPT, Viettel).</t>
  </si>
  <si>
    <t xml:space="preserve">Số lượng tính năng theo đối tượng</t>
  </si>
  <si>
    <t xml:space="preserve">Đối tượng</t>
  </si>
  <si>
    <t xml:space="preserve">Tổng</t>
  </si>
  <si>
    <t xml:space="preserve">Giữ nguyên</t>
  </si>
  <si>
    <t xml:space="preserve">Rút gọn</t>
  </si>
  <si>
    <t xml:space="preserve">Đợt 1</t>
  </si>
  <si>
    <t xml:space="preserve">Đợt 2</t>
  </si>
  <si>
    <t xml:space="preserve">Kiểm tra</t>
  </si>
  <si>
    <t xml:space="preserve">1. Chủ thể OCOP</t>
  </si>
  <si>
    <t xml:space="preserve">2. UBND xã/phường</t>
  </si>
  <si>
    <t xml:space="preserve">3. Sở NN&amp;MT</t>
  </si>
  <si>
    <t xml:space="preserve">4. Hội đồng đánh giá cấp tỉnh</t>
  </si>
  <si>
    <t xml:space="preserve">5. Tổ tư vấn</t>
  </si>
  <si>
    <t xml:space="preserve">6. Thành viên hội đồng</t>
  </si>
  <si>
    <t xml:space="preserve">7. Quản trị hệ thống</t>
  </si>
  <si>
    <t xml:space="preserve">8. Cổng công khai (xác thực QR)</t>
  </si>
  <si>
    <t xml:space="preserve">9. Dùng chung</t>
  </si>
  <si>
    <t xml:space="preserve">Tổng cộng</t>
  </si>
  <si>
    <t xml:space="preserve">Tính năng hoãn, làm ngoài hệ thống, gộp hoặc ngoài phạm vi</t>
  </si>
  <si>
    <t xml:space="preserve">Hoãn</t>
  </si>
  <si>
    <t xml:space="preserve">Làm ngoài hệ thống</t>
  </si>
  <si>
    <t xml:space="preserve">Gộp vào chức năng khác</t>
  </si>
  <si>
    <t xml:space="preserve">Ngoài phạm vi (Bộ không dùng hệ thống)</t>
  </si>
  <si>
    <t xml:space="preserve">Tổng số mã bị hoãn hoặc cắt</t>
  </si>
  <si>
    <t xml:space="preserve">Mã gốc được giữ (không tính DC-09 một phần)</t>
  </si>
  <si>
    <t xml:space="preserve">Tổng mã gốc (kiểm tra bằng 105)</t>
  </si>
  <si>
    <t xml:space="preserve">Chú giải</t>
  </si>
  <si>
    <t xml:space="preserve">Giữ đúng như danh sách 105 chức năng</t>
  </si>
  <si>
    <t xml:space="preserve">Giữ nhưng bớt phạm vi, xem cột Ghi chú</t>
  </si>
  <si>
    <t xml:space="preserve">Luồng lõi, làm trước</t>
  </si>
  <si>
    <t xml:space="preserve">QR và thống kê, có thể làm sau lõi (đề xuất)</t>
  </si>
  <si>
    <t xml:space="preserve">Cột Trạng thái ở sheet Tính năng rút gọn dùng menu thả xuống để theo dõi tiến độ; thêm dòng mới trong vùng A2:I300 thì bảng đếm tự cập nhật.</t>
  </si>
  <si>
    <t xml:space="preserve">Mã gốc</t>
  </si>
  <si>
    <t xml:space="preserve">Nhóm chức năng</t>
  </si>
  <si>
    <t xml:space="preserve">Tính năng (bản rút gọn)</t>
  </si>
  <si>
    <t xml:space="preserve">Mức giữ</t>
  </si>
  <si>
    <t xml:space="preserve">Đợt triển khai</t>
  </si>
  <si>
    <t xml:space="preserve">Luồng xử lý</t>
  </si>
  <si>
    <t xml:space="preserve">Ghi chú</t>
  </si>
  <si>
    <t xml:space="preserve">Trạng thái</t>
  </si>
  <si>
    <t xml:space="preserve">CT-01</t>
  </si>
  <si>
    <t xml:space="preserve">Tài khoản &amp; hồ sơ</t>
  </si>
  <si>
    <t xml:space="preserve">Đăng ký tài khoản, đăng nhập an toàn</t>
  </si>
  <si>
    <t xml:space="preserve">L01</t>
  </si>
  <si>
    <t xml:space="preserve">Chưa làm</t>
  </si>
  <si>
    <t xml:space="preserve">CT-02</t>
  </si>
  <si>
    <t xml:space="preserve">Quản lý hồ sơ pháp lý (GPKD, VSATTP, công bố chất lượng...)</t>
  </si>
  <si>
    <t xml:space="preserve">CT-03</t>
  </si>
  <si>
    <t xml:space="preserve">Tạo/sửa hồ sơ sản phẩm theo 6 nhóm OCOP, lưu nháp rồi gửi</t>
  </si>
  <si>
    <t xml:space="preserve">L02</t>
  </si>
  <si>
    <t xml:space="preserve">CT-05</t>
  </si>
  <si>
    <t xml:space="preserve">Minh chứng &amp; tự đánh giá</t>
  </si>
  <si>
    <t xml:space="preserve">Upload minh chứng gắn theo từng tiêu chí trong bộ 100 điểm</t>
  </si>
  <si>
    <t xml:space="preserve">CT-06</t>
  </si>
  <si>
    <t xml:space="preserve">Tự chấm điểm thử, ước lượng số sao</t>
  </si>
  <si>
    <t xml:space="preserve">CT-09</t>
  </si>
  <si>
    <t xml:space="preserve">Nộp hồ sơ &amp; theo dõi</t>
  </si>
  <si>
    <t xml:space="preserve">Nộp hồ sơ về UBND xã</t>
  </si>
  <si>
    <t xml:space="preserve">L03</t>
  </si>
  <si>
    <t xml:space="preserve">CT-10</t>
  </si>
  <si>
    <t xml:space="preserve">Theo dõi trạng thái hồ sơ (đã tiếp nhận / yêu cầu bổ sung / đã chuyển tỉnh...)</t>
  </si>
  <si>
    <t xml:space="preserve">CT-11</t>
  </si>
  <si>
    <t xml:space="preserve">Xem yêu cầu bổ sung và nộp lại hồ sơ</t>
  </si>
  <si>
    <t xml:space="preserve">L04</t>
  </si>
  <si>
    <t xml:space="preserve">CT-12</t>
  </si>
  <si>
    <t xml:space="preserve">Nhắc hạn nộp các đợt qua email và trong ứng dụng</t>
  </si>
  <si>
    <t xml:space="preserve">Không có SMS, Zalo</t>
  </si>
  <si>
    <t xml:space="preserve">CT-13</t>
  </si>
  <si>
    <t xml:space="preserve">Nhận thông báo kết quả, xem nhận xét của hội đồng</t>
  </si>
  <si>
    <t xml:space="preserve">L16</t>
  </si>
  <si>
    <t xml:space="preserve">CT-15</t>
  </si>
  <si>
    <t xml:space="preserve">Sau công nhận</t>
  </si>
  <si>
    <t xml:space="preserve">Tải giấy chứng nhận PDF có mã QR</t>
  </si>
  <si>
    <t xml:space="preserve">Không có màn hình quản lý QR riêng</t>
  </si>
  <si>
    <t xml:space="preserve">XA-01</t>
  </si>
  <si>
    <t xml:space="preserve">Tiếp nhận</t>
  </si>
  <si>
    <t xml:space="preserve">Danh sách hồ sơ của chủ thể trên địa bàn, ghi nhận ngày nhận</t>
  </si>
  <si>
    <t xml:space="preserve">L05</t>
  </si>
  <si>
    <t xml:space="preserve">XA-02</t>
  </si>
  <si>
    <t xml:space="preserve">Kiểm tra tính đầy đủ tài liệu và tính hợp lệ của chủ thể</t>
  </si>
  <si>
    <t xml:space="preserve">XA-03</t>
  </si>
  <si>
    <t xml:space="preserve">Phân công cán bộ xử lý hồ sơ</t>
  </si>
  <si>
    <t xml:space="preserve">XA-04</t>
  </si>
  <si>
    <t xml:space="preserve">Đánh giá sơ bộ</t>
  </si>
  <si>
    <t xml:space="preserve">Checklist sơ bộ: nguồn gốc nguyên liệu, lao động địa phương, bản sắc văn hóa - trí tuệ bản địa</t>
  </si>
  <si>
    <t xml:space="preserve">L06</t>
  </si>
  <si>
    <t xml:space="preserve">XA-05</t>
  </si>
  <si>
    <t xml:space="preserve">Yêu cầu chủ thể bổ sung hồ sơ</t>
  </si>
  <si>
    <t xml:space="preserve">XA-07</t>
  </si>
  <si>
    <t xml:space="preserve">Gửi lên tỉnh</t>
  </si>
  <si>
    <t xml:space="preserve">Lập biên bản, văn bản đề xuất gửi tỉnh, đính kèm toàn bộ tài liệu</t>
  </si>
  <si>
    <t xml:space="preserve">XA-08</t>
  </si>
  <si>
    <t xml:space="preserve">Chọn đợt gửi và theo dõi sau khi gửi</t>
  </si>
  <si>
    <t xml:space="preserve">SO-01</t>
  </si>
  <si>
    <t xml:space="preserve">Quản lý đợt</t>
  </si>
  <si>
    <t xml:space="preserve">Mở/đóng đợt đánh giá, thiết lập hạn nộp</t>
  </si>
  <si>
    <t xml:space="preserve">L07</t>
  </si>
  <si>
    <t xml:space="preserve">SO-02</t>
  </si>
  <si>
    <t xml:space="preserve">Quản lý hồ sơ</t>
  </si>
  <si>
    <t xml:space="preserve">Danh sách hồ sơ từ các xã trong toàn tỉnh, lọc theo đợt/trạng thái</t>
  </si>
  <si>
    <t xml:space="preserve">L08</t>
  </si>
  <si>
    <t xml:space="preserve">SO-04</t>
  </si>
  <si>
    <t xml:space="preserve">Chuyển Bộ</t>
  </si>
  <si>
    <t xml:space="preserve">Công cụ xuất gói hồ sơ 5 sao (từ 90 điểm) để gửi đánh giá ngoài hệ thống; đánh dấu trạng thái sau khi gửi</t>
  </si>
  <si>
    <t xml:space="preserve">L17</t>
  </si>
  <si>
    <t xml:space="preserve">Bộ NN&amp;MT không dùng hệ thống: gửi và nhận kết quả bằng văn bản. Gói gồm hồ sơ, báo cáo của Tổ tư vấn và của Hội đồng, quyết định của Chủ tịch UBND tỉnh. Hệ thống không nhập kết quả của Bộ</t>
  </si>
  <si>
    <t xml:space="preserve">SO-06</t>
  </si>
  <si>
    <t xml:space="preserve">Báo cáo</t>
  </si>
  <si>
    <t xml:space="preserve">Bảng thống kê theo đợt, nhóm sản phẩm, đơn vị; xuất Excel</t>
  </si>
  <si>
    <t xml:space="preserve">L22</t>
  </si>
  <si>
    <t xml:space="preserve">Gộp SO-07; bộ lọc cơ bản</t>
  </si>
  <si>
    <t xml:space="preserve">HD-01</t>
  </si>
  <si>
    <t xml:space="preserve">Thành lập hội đồng</t>
  </si>
  <si>
    <t xml:space="preserve">Thành lập hội đồng, quản lý thành viên, chủ tịch/thư ký hội đồng</t>
  </si>
  <si>
    <t xml:space="preserve">L09</t>
  </si>
  <si>
    <t xml:space="preserve">HD-02</t>
  </si>
  <si>
    <t xml:space="preserve">Phân công hồ sơ cho thành viên/chuyên gia</t>
  </si>
  <si>
    <t xml:space="preserve">HD-03</t>
  </si>
  <si>
    <t xml:space="preserve">Phân công Tổ tư vấn phụ trách từng hồ sơ / từng đợt</t>
  </si>
  <si>
    <t xml:space="preserve">HD-04</t>
  </si>
  <si>
    <t xml:space="preserve">Chấm điểm</t>
  </si>
  <si>
    <t xml:space="preserve">Chấm điểm trực tuyến theo bộ tiêu chí, tự cộng điểm, tính điểm trung bình</t>
  </si>
  <si>
    <t xml:space="preserve">L15</t>
  </si>
  <si>
    <t xml:space="preserve">HD-05</t>
  </si>
  <si>
    <t xml:space="preserve">Gợi ý phân hạng tự động theo điểm</t>
  </si>
  <si>
    <t xml:space="preserve">HD-06</t>
  </si>
  <si>
    <t xml:space="preserve">Chọn chế độ chấm cho đợt: trực tiếp hoặc dựa trên Tổ tư vấn</t>
  </si>
  <si>
    <t xml:space="preserve">Bỏ chế độ kết hợp</t>
  </si>
  <si>
    <t xml:space="preserve">HD-08</t>
  </si>
  <si>
    <t xml:space="preserve">Khóa điểm bất biến sau khi chốt</t>
  </si>
  <si>
    <t xml:space="preserve">HD-09</t>
  </si>
  <si>
    <t xml:space="preserve">Họp &amp; quyết định</t>
  </si>
  <si>
    <t xml:space="preserve">Họp hội đồng: bảng tổng hợp điểm, biên bản, quyết định công nhận (sinh từ mẫu Word)</t>
  </si>
  <si>
    <t xml:space="preserve">Gộp TM-11 (tài liệu họp)</t>
  </si>
  <si>
    <t xml:space="preserve">HD-10</t>
  </si>
  <si>
    <t xml:space="preserve">Gửi kết quả cho sản phẩm không đạt kèm nhận xét</t>
  </si>
  <si>
    <t xml:space="preserve">HD-11</t>
  </si>
  <si>
    <t xml:space="preserve">Giấy chứng nhận</t>
  </si>
  <si>
    <t xml:space="preserve">Cấp giấy chứng nhận 3-4 sao, xuất PDF, số hiệu, ngày cấp</t>
  </si>
  <si>
    <t xml:space="preserve">HD-12</t>
  </si>
  <si>
    <t xml:space="preserve">Gắn mã QR vào giấy chứng nhận</t>
  </si>
  <si>
    <t xml:space="preserve">Làm sau lõi</t>
  </si>
  <si>
    <t xml:space="preserve">TM-01</t>
  </si>
  <si>
    <t xml:space="preserve">Thẩm định hồ sơ</t>
  </si>
  <si>
    <t xml:space="preserve">Danh sách hồ sơ được giao thẩm định theo đợt, theo hạn xử lý</t>
  </si>
  <si>
    <t xml:space="preserve">L10</t>
  </si>
  <si>
    <t xml:space="preserve">TM-02</t>
  </si>
  <si>
    <t xml:space="preserve">Rà soát hồ sơ và minh chứng theo từng tiêu chí, đánh dấu thiếu hoặc không hợp lệ</t>
  </si>
  <si>
    <t xml:space="preserve">TM-05</t>
  </si>
  <si>
    <t xml:space="preserve">Điểm đề xuất</t>
  </si>
  <si>
    <t xml:space="preserve">Chấm điểm đề xuất từng tiêu chí kèm căn cứ và minh chứng viện dẫn</t>
  </si>
  <si>
    <t xml:space="preserve">TM-06</t>
  </si>
  <si>
    <t xml:space="preserve">Soạn nhận xét, báo cáo thẩm định, các điểm cần hội đồng lưu ý</t>
  </si>
  <si>
    <t xml:space="preserve">TM-07</t>
  </si>
  <si>
    <t xml:space="preserve">Chốt và phát hành báo cáo Tổ tư vấn (khóa phiên bản) trước khi chia sẻ cho thành viên</t>
  </si>
  <si>
    <t xml:space="preserve">L11</t>
  </si>
  <si>
    <t xml:space="preserve">TM-08</t>
  </si>
  <si>
    <t xml:space="preserve">Sao chép dữ liệu cho thành viên</t>
  </si>
  <si>
    <t xml:space="preserve">Sao chép dữ liệu của Tổ tư vấn (điểm đề xuất, nhận xét, căn cứ) vào phiếu chấm của thành viên hội đồng, chọn toàn bộ hoặc theo từng tiêu chí</t>
  </si>
  <si>
    <t xml:space="preserve">L12</t>
  </si>
  <si>
    <t xml:space="preserve">TM-09</t>
  </si>
  <si>
    <t xml:space="preserve">Sao chép hàng loạt cho nhiều thành viên và nhiều hồ sơ cùng lúc</t>
  </si>
  <si>
    <t xml:space="preserve">TM-12</t>
  </si>
  <si>
    <t xml:space="preserve">Phân quyền</t>
  </si>
  <si>
    <t xml:space="preserve">Quyền giới hạn: Tổ tư vấn không có quyền chốt điểm chính thức hay quyết định công nhận</t>
  </si>
  <si>
    <t xml:space="preserve">Chính sách phân quyền có test</t>
  </si>
  <si>
    <t xml:space="preserve">TV-01</t>
  </si>
  <si>
    <t xml:space="preserve">Phân công</t>
  </si>
  <si>
    <t xml:space="preserve">Chỉ xem danh sách sản phẩm được phân công</t>
  </si>
  <si>
    <t xml:space="preserve">L13</t>
  </si>
  <si>
    <t xml:space="preserve">TV-02</t>
  </si>
  <si>
    <t xml:space="preserve">Dựa trên Tổ tư vấn</t>
  </si>
  <si>
    <t xml:space="preserve">Xem bản thẩm định / Tổ tư vấn của Tổ tư vấn cho từng hồ sơ</t>
  </si>
  <si>
    <t xml:space="preserve">TV-03</t>
  </si>
  <si>
    <t xml:space="preserve">Nhận dữ liệu do Tổ tư vấn sao chép vào phiếu chấm (điểm đề xuất, nhận xét, căn cứ)</t>
  </si>
  <si>
    <t xml:space="preserve">TV-04</t>
  </si>
  <si>
    <t xml:space="preserve">Điều chỉnh điểm và nhận xét đã sao chép; bắt buộc ghi lý do khi khác điểm của Tổ tư vấn</t>
  </si>
  <si>
    <t xml:space="preserve">TV-05</t>
  </si>
  <si>
    <t xml:space="preserve">Xác nhận phiếu chấm cuối cùng (xác nhận trực tuyến, có thể kèm ký số)</t>
  </si>
  <si>
    <t xml:space="preserve">TV-06</t>
  </si>
  <si>
    <t xml:space="preserve">Chế độ chấm trực tiếp: chấm độc lập từng tiêu chí, ẩn điểm của người khác đến khi chốt</t>
  </si>
  <si>
    <t xml:space="preserve">L14</t>
  </si>
  <si>
    <t xml:space="preserve">TV-07</t>
  </si>
  <si>
    <t xml:space="preserve">Ghi nhận xét, upload bằng chứng kiểm tra</t>
  </si>
  <si>
    <t xml:space="preserve">TV-08</t>
  </si>
  <si>
    <t xml:space="preserve">Xem điểm tổng hợp sau khi chốt để họp thống nhất</t>
  </si>
  <si>
    <t xml:space="preserve">Chỉ xem sau khi hội đồng chốt</t>
  </si>
  <si>
    <t xml:space="preserve">AD-01</t>
  </si>
  <si>
    <t xml:space="preserve">Người dùng &amp; quyền</t>
  </si>
  <si>
    <t xml:space="preserve">Phân quyền theo vai trò (RBAC), quản lý tài khoản các cấp</t>
  </si>
  <si>
    <t xml:space="preserve">L20</t>
  </si>
  <si>
    <t xml:space="preserve">AD-02</t>
  </si>
  <si>
    <t xml:space="preserve">Cấu hình vai trò Tổ tư vấn, quyền sao chép dữ liệu và quy tắc không ghi đè</t>
  </si>
  <si>
    <t xml:space="preserve">AD-03</t>
  </si>
  <si>
    <t xml:space="preserve">Tiêu chí &amp; thang điểm</t>
  </si>
  <si>
    <t xml:space="preserve">Cấu hình bộ tiêu chí và thang điểm linh hoạt, không hard-code</t>
  </si>
  <si>
    <t xml:space="preserve">L19</t>
  </si>
  <si>
    <t xml:space="preserve">AD-04</t>
  </si>
  <si>
    <t xml:space="preserve">Phiên bản hóa bộ tiêu chí, lưu snapshot điểm theo phiên bản tại thời điểm chấm</t>
  </si>
  <si>
    <t xml:space="preserve">AD-05</t>
  </si>
  <si>
    <t xml:space="preserve">Bộ tiêu chí riêng theo nhóm sản phẩm (ví dụ du lịch cộng đồng)</t>
  </si>
  <si>
    <t xml:space="preserve">AD-06</t>
  </si>
  <si>
    <t xml:space="preserve">Danh mục</t>
  </si>
  <si>
    <t xml:space="preserve">Quản lý danh mục: nhóm sản phẩm, xã/phường của tỉnh, đợt đánh giá</t>
  </si>
  <si>
    <t xml:space="preserve">Chỉ một tỉnh, không cần đơn vị hành chính hai cấp</t>
  </si>
  <si>
    <t xml:space="preserve">AD-08</t>
  </si>
  <si>
    <t xml:space="preserve">Bảo mật &amp; vận hành</t>
  </si>
  <si>
    <t xml:space="preserve">Nhật ký hoạt động (audit log), sao lưu định kỳ</t>
  </si>
  <si>
    <t xml:space="preserve">L21</t>
  </si>
  <si>
    <t xml:space="preserve">AD-09</t>
  </si>
  <si>
    <t xml:space="preserve">Audit riêng cho thao tác sao chép dữ liệu của Tổ tư vấn (ai, từ phiên bản nào, cho ai, lúc nào); lưu điểm gốc của Tổ tư vấn bên cạnh điểm thành viên xác nhận</t>
  </si>
  <si>
    <t xml:space="preserve">DC-09</t>
  </si>
  <si>
    <t xml:space="preserve">Tích hợp &amp; bảo mật</t>
  </si>
  <si>
    <t xml:space="preserve">Xác thực hai lớp (TOTP) cho hội đồng và quản trị</t>
  </si>
  <si>
    <t xml:space="preserve">Bỏ phần VNeID/SSO</t>
  </si>
  <si>
    <t xml:space="preserve">CK-02</t>
  </si>
  <si>
    <t xml:space="preserve">Tra cứu</t>
  </si>
  <si>
    <t xml:space="preserve">Trang xác thực mã QR giấy chứng nhận</t>
  </si>
  <si>
    <t xml:space="preserve">L18</t>
  </si>
  <si>
    <t xml:space="preserve">Không có tra cứu danh sách; làm sau lõi</t>
  </si>
  <si>
    <t xml:space="preserve">DC-01</t>
  </si>
  <si>
    <t xml:space="preserve">Thông báo</t>
  </si>
  <si>
    <t xml:space="preserve">Thông báo email và trong ứng dụng</t>
  </si>
  <si>
    <t xml:space="preserve">L23</t>
  </si>
  <si>
    <t xml:space="preserve">SMS tùy chọn qua adapter, làm sau</t>
  </si>
  <si>
    <t xml:space="preserve">DC-03</t>
  </si>
  <si>
    <t xml:space="preserve">Dữ liệu &amp; tệp</t>
  </si>
  <si>
    <t xml:space="preserve">Quản lý file đính kèm</t>
  </si>
  <si>
    <t xml:space="preserve">L24</t>
  </si>
  <si>
    <t xml:space="preserve">DC-04</t>
  </si>
  <si>
    <t xml:space="preserve">Tìm kiếm và lọc hồ sơ, sản phẩm</t>
  </si>
  <si>
    <t xml:space="preserve">DC-05</t>
  </si>
  <si>
    <t xml:space="preserve">Xuất báo cáo Excel / PDF</t>
  </si>
  <si>
    <t xml:space="preserve">DC-07</t>
  </si>
  <si>
    <t xml:space="preserve">Giao diện</t>
  </si>
  <si>
    <t xml:space="preserve">Giao diện responsive trên di động</t>
  </si>
  <si>
    <t xml:space="preserve">L25</t>
  </si>
  <si>
    <t xml:space="preserve">DC-10</t>
  </si>
  <si>
    <t xml:space="preserve">Tuân thủ bảo vệ dữ liệu cá nhân (NĐ 13/2023) và phân loại cấp độ an toàn thông tin</t>
  </si>
  <si>
    <t xml:space="preserve">Đối tượng gốc</t>
  </si>
  <si>
    <t xml:space="preserve">Tính năng gốc</t>
  </si>
  <si>
    <t xml:space="preserve">Hướng xử lý</t>
  </si>
  <si>
    <t xml:space="preserve">Thay thế / ghi chú</t>
  </si>
  <si>
    <t xml:space="preserve">CT-04</t>
  </si>
  <si>
    <t xml:space="preserve">1. Chủ thể OCOP (DN, HTX, hộ sản xuất)</t>
  </si>
  <si>
    <t xml:space="preserve">Tạo câu chuyện sản phẩm (bản sắc, nguồn gốc, truyền thống)</t>
  </si>
  <si>
    <t xml:space="preserve">Chủ thể mô tả bản sắc, nguồn gốc ngay trong trường văn bản của hồ sơ sản phẩm</t>
  </si>
  <si>
    <t xml:space="preserve">CT-07</t>
  </si>
  <si>
    <t xml:space="preserve">Hướng dẫn chi tiết từng tiêu chí và gợi ý nâng điểm</t>
  </si>
  <si>
    <t xml:space="preserve">Hiển thị mô tả từng tiêu chí ngay trong form; chưa có gợi ý nâng điểm tự động</t>
  </si>
  <si>
    <t xml:space="preserve">CT-08</t>
  </si>
  <si>
    <t xml:space="preserve">Cảnh báo minh chứng sắp hết hạn (GPKD, giấy VSATTP, kết quả kiểm nghiệm)</t>
  </si>
  <si>
    <t xml:space="preserve">Vẫn lưu ngày hiệu lực của giấy tờ để bổ sung cảnh báo sau</t>
  </si>
  <si>
    <t xml:space="preserve">CT-14</t>
  </si>
  <si>
    <t xml:space="preserve">Đăng ký đánh giá lại / nâng hạng (ví dụ 3 sao lên 4 sao)</t>
  </si>
  <si>
    <t xml:space="preserve">Chủ thể tạo hồ sơ mới ở đợt kế tiếp</t>
  </si>
  <si>
    <t xml:space="preserve">CT-16</t>
  </si>
  <si>
    <t xml:space="preserve">Khiếu nại / phản hồi kết quả đánh giá</t>
  </si>
  <si>
    <t xml:space="preserve">Khiếu nại bằng văn bản; kết luận ghi vào tệp đính kèm của hồ sơ</t>
  </si>
  <si>
    <t xml:space="preserve">CT-17</t>
  </si>
  <si>
    <t xml:space="preserve">FAQ, video hướng dẫn, mẫu hồ sơ, ví dụ hồ sơ thành công</t>
  </si>
  <si>
    <t xml:space="preserve">Trang hướng dẫn tĩnh hoặc tài liệu PDF</t>
  </si>
  <si>
    <t xml:space="preserve">XA-06</t>
  </si>
  <si>
    <t xml:space="preserve">Kiểm tra thực địa trên mobile: ảnh có geotag, chạy được khi mạng yếu</t>
  </si>
  <si>
    <t xml:space="preserve">Biên bản thực địa và ảnh đính kèm như tệp thường</t>
  </si>
  <si>
    <t xml:space="preserve">XA-09</t>
  </si>
  <si>
    <t xml:space="preserve">Thống kê số hồ sơ đã xử lý, đạt/không đạt sơ bộ trong đợt</t>
  </si>
  <si>
    <t xml:space="preserve">Dùng bộ lọc danh sách và xuất Excel (DC-04, DC-05)</t>
  </si>
  <si>
    <t xml:space="preserve">SO-03</t>
  </si>
  <si>
    <t xml:space="preserve">3. Sở NN&amp;MT (thường trực cấp tỉnh)</t>
  </si>
  <si>
    <t xml:space="preserve">Mã tracking riêng cho từng hồ sơ</t>
  </si>
  <si>
    <t xml:space="preserve">Mã hồ sơ do hệ thống sinh sẵn dùng làm mã theo dõi</t>
  </si>
  <si>
    <t xml:space="preserve">SO-05</t>
  </si>
  <si>
    <t xml:space="preserve">Thu hồi / gia hạn giấy chứng nhận khi không duy trì tiêu chuẩn</t>
  </si>
  <si>
    <t xml:space="preserve">Chờ văn bản quy định điều kiện thu hồi; dữ liệu giấy chứng nhận có sẵn trường trạng thái</t>
  </si>
  <si>
    <t xml:space="preserve">SO-07</t>
  </si>
  <si>
    <t xml:space="preserve">Thống kê phân bố theo địa phương, nhóm sản phẩm</t>
  </si>
  <si>
    <t xml:space="preserve">Gộp vào bảng thống kê SO-06</t>
  </si>
  <si>
    <t xml:space="preserve">HD-07</t>
  </si>
  <si>
    <t xml:space="preserve">Đối chiếu điểm của Tổ tư vấn với điểm thành viên xác nhận, báo cáo chênh lệch</t>
  </si>
  <si>
    <t xml:space="preserve">Dữ liệu đối chiếu (điểm gốc của Tổ tư vấn) vẫn được lưu để làm báo cáo sau</t>
  </si>
  <si>
    <t xml:space="preserve">HD-13</t>
  </si>
  <si>
    <t xml:space="preserve">Lưu trữ điện tử và theo dõi hạn hiệu lực giấy chứng nhận</t>
  </si>
  <si>
    <t xml:space="preserve">Giấy chứng nhận đã lưu PDF; hạn hiệu lực bổ sung sau</t>
  </si>
  <si>
    <t xml:space="preserve">HD-14</t>
  </si>
  <si>
    <t xml:space="preserve">Báo cáo kết quả đợt chấm, phân tích xu hướng sản phẩm mạnh/yếu</t>
  </si>
  <si>
    <t xml:space="preserve">Cần dữ liệu nhiều đợt</t>
  </si>
  <si>
    <t xml:space="preserve">TM-03</t>
  </si>
  <si>
    <t xml:space="preserve">5. Tổ tư vấn Hội đồng đánh giá</t>
  </si>
  <si>
    <t xml:space="preserve">Yêu cầu xã/chủ thể bổ sung trong quá trình thẩm định</t>
  </si>
  <si>
    <t xml:space="preserve">Tổ tư vấn đề nghị Sở trả hồ sơ về xã; Sở thực hiện qua luồng bổ sung</t>
  </si>
  <si>
    <t xml:space="preserve">TM-04</t>
  </si>
  <si>
    <t xml:space="preserve">Ghi nhận kiểm tra thực địa: biên bản, ảnh geotag</t>
  </si>
  <si>
    <t xml:space="preserve">Biên bản thực địa đính kèm vào báo cáo Tổ tư vấn như tệp thường</t>
  </si>
  <si>
    <t xml:space="preserve">TM-10</t>
  </si>
  <si>
    <t xml:space="preserve">Phát hành lại báo cáo Tổ tư vấn: không ghi đè nội dung thành viên đã chỉnh, hiển thị chênh lệch để chọn giữ hoặc cập nhật</t>
  </si>
  <si>
    <t xml:space="preserve">Vẫn cho tạo phiên bản mới và sao chép lại cho phiếu chưa chỉnh; chỉ bỏ màn hình so sánh chênh lệch</t>
  </si>
  <si>
    <t xml:space="preserve">TM-11</t>
  </si>
  <si>
    <t xml:space="preserve">Chuẩn bị tài liệu họp: bảng điểm tổng hợp, dự thảo biên bản, dự thảo quyết định công nhận</t>
  </si>
  <si>
    <t xml:space="preserve">Gộp vào HD-09 (bảng tổng hợp, biên bản, quyết định)</t>
  </si>
  <si>
    <t xml:space="preserve">TV-09</t>
  </si>
  <si>
    <t xml:space="preserve">6. Thành viên hội đồng / chuyên gia</t>
  </si>
  <si>
    <t xml:space="preserve">Khai báo xung đột lợi ích, tự loại khỏi hồ sơ liên quan</t>
  </si>
  <si>
    <t xml:space="preserve">Khai báo xung đột lợi ích bằng văn bản; thư ký hội đồng điều chỉnh phân công</t>
  </si>
  <si>
    <t xml:space="preserve">BO-01</t>
  </si>
  <si>
    <t xml:space="preserve">7. Bộ NN&amp;MT (cấp trung ương)</t>
  </si>
  <si>
    <t xml:space="preserve">Tiếp nhận hồ sơ đề xuất 5 sao từ các tỉnh theo đợt</t>
  </si>
  <si>
    <t xml:space="preserve">Thay bằng SO-04: Sở xuất gói hồ sơ 5 sao</t>
  </si>
  <si>
    <t xml:space="preserve">BO-02</t>
  </si>
  <si>
    <t xml:space="preserve">Kiểm tra tính đầy đủ hồ sơ tỉnh gửi lên</t>
  </si>
  <si>
    <t xml:space="preserve">Bộ kiểm tra hồ sơ theo quy trình riêng</t>
  </si>
  <si>
    <t xml:space="preserve">BO-03</t>
  </si>
  <si>
    <t xml:space="preserve">Tổ chức hội đồng quốc gia, chấm điểm độc lập</t>
  </si>
  <si>
    <t xml:space="preserve">Hội đồng quốc gia chấm theo quy trình riêng</t>
  </si>
  <si>
    <t xml:space="preserve">BO-04</t>
  </si>
  <si>
    <t xml:space="preserve">Áp dụng cơ chế Tổ tư vấn và sao chép dữ liệu cho hội đồng quốc gia</t>
  </si>
  <si>
    <t xml:space="preserve">Không áp dụng</t>
  </si>
  <si>
    <t xml:space="preserve">BO-05</t>
  </si>
  <si>
    <t xml:space="preserve">Công nhận 5 sao, cấp giấy chứng nhận cấp quốc gia</t>
  </si>
  <si>
    <t xml:space="preserve">Kết quả của Bộ xử lý ngoài hệ thống; SO-04 chỉ đánh dấu trạng thái hồ sơ</t>
  </si>
  <si>
    <t xml:space="preserve">BO-06</t>
  </si>
  <si>
    <t xml:space="preserve">Trả hồ sơ về tỉnh để công nhận 4 sao (nếu 70-89 điểm)</t>
  </si>
  <si>
    <t xml:space="preserve">Khi Bộ trả về để tỉnh công nhận 4 sao, Sở dùng thao tác chuyển về công nhận cấp tỉnh trong SO-04</t>
  </si>
  <si>
    <t xml:space="preserve">BO-07</t>
  </si>
  <si>
    <t xml:space="preserve">CSDL OCOP toàn quốc</t>
  </si>
  <si>
    <t xml:space="preserve">Có thể xuất dữ liệu của tỉnh ra Excel khi Bộ yêu cầu</t>
  </si>
  <si>
    <t xml:space="preserve">BO-08</t>
  </si>
  <si>
    <t xml:space="preserve">Thống kê, báo cáo tổng hợp, báo cáo Thủ tướng</t>
  </si>
  <si>
    <t xml:space="preserve">Báo cáo cấp tỉnh xuất từ SO-06</t>
  </si>
  <si>
    <t xml:space="preserve">BO-09</t>
  </si>
  <si>
    <t xml:space="preserve">Công bố công khai danh sách sản phẩm 5 sao</t>
  </si>
  <si>
    <t xml:space="preserve">Công bố do Bộ thực hiện; tỉnh dùng trang xác thực QR</t>
  </si>
  <si>
    <t xml:space="preserve">BO-10</t>
  </si>
  <si>
    <t xml:space="preserve">Hỗ trợ xúc tiến thương mại / tiếp thị quốc tế</t>
  </si>
  <si>
    <t xml:space="preserve">Không thuộc hệ thống đánh giá</t>
  </si>
  <si>
    <t xml:space="preserve">AD-07</t>
  </si>
  <si>
    <t xml:space="preserve">8. Quản trị hệ thống</t>
  </si>
  <si>
    <t xml:space="preserve">Quản lý FAQ, hướng dẫn, file mẫu</t>
  </si>
  <si>
    <t xml:space="preserve">Trang tĩnh hoặc tài liệu PDF</t>
  </si>
  <si>
    <t xml:space="preserve">AD-10</t>
  </si>
  <si>
    <t xml:space="preserve">Mở khóa điểm có lý do và ghi audit</t>
  </si>
  <si>
    <t xml:space="preserve">Khi hội đồng yêu cầu bằng văn bản, quản trị kỹ thuật mở khóa bằng thao tác riêng có ghi audit</t>
  </si>
  <si>
    <t xml:space="preserve">AD-11</t>
  </si>
  <si>
    <t xml:space="preserve">Import dữ liệu sản phẩm OCOP đã công nhận, phát hiện trùng</t>
  </si>
  <si>
    <t xml:space="preserve">Script nhập một lần khi triển khai</t>
  </si>
  <si>
    <t xml:space="preserve">AD-12</t>
  </si>
  <si>
    <t xml:space="preserve">Dashboard tổng quan toàn hệ thống</t>
  </si>
  <si>
    <t xml:space="preserve">Dùng bảng thống kê SO-06</t>
  </si>
  <si>
    <t xml:space="preserve">CK-01</t>
  </si>
  <si>
    <t xml:space="preserve">9. Cổng tra cứu công khai</t>
  </si>
  <si>
    <t xml:space="preserve">Tra cứu sản phẩm OCOP theo số sao, tỉnh, nhóm sản phẩm</t>
  </si>
  <si>
    <t xml:space="preserve">Giai đoạn đầu chỉ có trang xác thực QR</t>
  </si>
  <si>
    <t xml:space="preserve">CK-03</t>
  </si>
  <si>
    <t xml:space="preserve">Tin tức, văn bản hướng dẫn, lịch các đợt đánh giá</t>
  </si>
  <si>
    <t xml:space="preserve">Dùng website của Sở NN&amp;MT</t>
  </si>
  <si>
    <t xml:space="preserve">CK-04</t>
  </si>
  <si>
    <t xml:space="preserve">API mở cho đối tác (sàn TMĐT, siêu thị...)</t>
  </si>
  <si>
    <t xml:space="preserve">Chưa có đối tác tích hợp</t>
  </si>
  <si>
    <t xml:space="preserve">DC-02</t>
  </si>
  <si>
    <t xml:space="preserve">10. Dùng chung / phi chức năng</t>
  </si>
  <si>
    <t xml:space="preserve">Thông báo qua Zalo</t>
  </si>
  <si>
    <t xml:space="preserve">Dùng email và thông báo trong ứng dụng</t>
  </si>
  <si>
    <t xml:space="preserve">DC-06</t>
  </si>
  <si>
    <t xml:space="preserve">Ký số văn bản</t>
  </si>
  <si>
    <t xml:space="preserve">Xuất PDF hoặc Word, ký số bằng công cụ sẵn có, tải bản đã ký lên như tệp đính kèm</t>
  </si>
  <si>
    <t xml:space="preserve">DC-08</t>
  </si>
  <si>
    <t xml:space="preserve">Dashboard thống kê thời gian thực</t>
  </si>
  <si>
    <t xml:space="preserve">Định danh VNeID hoặc SSO địa phương, 2FA cho hội đồng</t>
  </si>
  <si>
    <t xml:space="preserve">Phần VNeID/SSO hoãn; phần xác thực hai lớp được giữ ở bản rút gọn</t>
  </si>
  <si>
    <t xml:space="preserve">DC-11</t>
  </si>
  <si>
    <t xml:space="preserve">API tích hợp với hệ thống khác của chính quyền</t>
  </si>
  <si>
    <t xml:space="preserve">Chưa có yêu cầu tích hợp</t>
  </si>
  <si>
    <t xml:space="preserve">Thành phần</t>
  </si>
  <si>
    <t xml:space="preserve">Đề xuất cho bản rút gọn</t>
  </si>
  <si>
    <t xml:space="preserve">Ghi chú theo nhà cung cấp (VNG/GreenNode, FPT, Viettel)</t>
  </si>
  <si>
    <t xml:space="preserve">Máy chủ ứng dụng</t>
  </si>
  <si>
    <t xml:space="preserve">1 VM (hoặc 2 VM sau này) chạy Docker Compose: Caddy hoặc Nginx, web Next.js, worker. Ước lượng 2-4 vCPU, 8 GB RAM</t>
  </si>
  <si>
    <t xml:space="preserve">Cả ba nhà cung cấp có máy chủ ảo. Không mở cổng trực tiếp ra internet ngoài 80/443</t>
  </si>
  <si>
    <t xml:space="preserve">Cân bằng tải và WAF</t>
  </si>
  <si>
    <t xml:space="preserve">Tùy chọn ở giai đoạn đầu; nên có khi mở cổng xác thực QR công khai</t>
  </si>
  <si>
    <t xml:space="preserve">Nguồn công khai cho thấy FPT Cloud có WAF và Load Balancing; GreenNode (VNG) có dịch vụ lọc lưu lượng HTTP/HTTPS. Cần xác nhận tên gói và giá</t>
  </si>
  <si>
    <t xml:space="preserve">PostgreSQL</t>
  </si>
  <si>
    <t xml:space="preserve">Ưu tiên dịch vụ quản lý có sao lưu tự động; nếu không có thì chạy Postgres trên VM riêng, sao lưu bằng pgBackRest hoặc pg_dump kèm lưu WAL ra object storage</t>
  </si>
  <si>
    <t xml:space="preserve">GreenNode vDB có PostgreSQL Cluster (2 đến 10 node, failover tự động, tích hợp vBackup), có ở vùng HAN-01 theo cập nhật 2026. FPT và Viettel: chưa kiểm chứng được dịch vụ PostgreSQL quản lý, cần hỏi nhà cung cấp</t>
  </si>
  <si>
    <t xml:space="preserve">Lưu trữ tệp</t>
  </si>
  <si>
    <t xml:space="preserve">Object storage S3-compatible qua interface FileStore (adapter S3), thay cho volume trên đĩa</t>
  </si>
  <si>
    <t xml:space="preserve">GreenNode vStorage hỗ trợ S3 API, pre-signed URL, CORS, versioning. FPT Object Storage tương thích S3. Viettel IDC công bố dịch vụ lưu trữ S3-compatible (thông tin 2022). Cần xác nhận chi tiết với từng nhà cung cấp</t>
  </si>
  <si>
    <t xml:space="preserve">Điểm cần kiểm thử với S3 của nhà cung cấp</t>
  </si>
  <si>
    <t xml:space="preserve">Endpoint kiểu path-style, pre-signed URL, multipart, CORS, versioning, checksum mặc định của AWS SDK v3</t>
  </si>
  <si>
    <t xml:space="preserve">GreenNode: CopyObject trả 501 khi bucket hoặc object bật SSE-S3 hoặc SSE-C. Nếu SDK gửi checksum mà nhà cung cấp không hỗ trợ thì đặt cấu hình chỉ tính checksum khi bắt buộc</t>
  </si>
  <si>
    <t xml:space="preserve">Sao lưu và khôi phục</t>
  </si>
  <si>
    <t xml:space="preserve">Sao lưu DB hằng đêm cộng lưu WAL; bật versioning cho bucket; bản sao thứ hai ở vùng hoặc nhà cung cấp khác; diễn tập khôi phục định kỳ</t>
  </si>
  <si>
    <t xml:space="preserve">Object Lock (nếu nhà cung cấp hỗ trợ) giúp chống xóa nhầm hoặc mã độc</t>
  </si>
  <si>
    <t xml:space="preserve">Mạng</t>
  </si>
  <si>
    <t xml:space="preserve">Mạng riêng (VPC): DB và storage đi qua private endpoint khi có</t>
  </si>
  <si>
    <t xml:space="preserve">GreenNode có Private Endpoint tới vStorage và các dịch vụ khác</t>
  </si>
  <si>
    <t xml:space="preserve">Email</t>
  </si>
  <si>
    <t xml:space="preserve">SMTP của cơ quan hoặc dịch vụ trong nước; cấu hình SPF, DKIM, DMARC</t>
  </si>
  <si>
    <t xml:space="preserve">Quan trọng cho thông báo nhắc hạn và kết quả</t>
  </si>
  <si>
    <t xml:space="preserve">Giám sát</t>
  </si>
  <si>
    <t xml:space="preserve">Log JSON, giám sát uptime, cảnh báo dung lượng đĩa và DB; công cụ giám sát của nhà cung cấp nếu có</t>
  </si>
  <si>
    <t xml:space="preserve">GreenNode có vMonitor; các nhà cung cấp khác cần xác nhận</t>
  </si>
  <si>
    <t xml:space="preserve">Kubernetes</t>
  </si>
  <si>
    <t xml:space="preserve">Chưa cần ở bản rút gọn</t>
  </si>
  <si>
    <t xml:space="preserve">GreenNode có VKS nếu sau này cần</t>
  </si>
  <si>
    <t xml:space="preserve">Tuân thủ</t>
  </si>
  <si>
    <t xml:space="preserve">Xác nhận cấp độ an toàn thông tin của hệ thống và yêu cầu đối với nhà cung cấp; dữ liệu đặt tại trung tâm dữ liệu trong nước</t>
  </si>
  <si>
    <t xml:space="preserve">Cần xác nhận với đơn vị chủ quản và pháp chế</t>
  </si>
  <si>
    <t xml:space="preserve">Loại</t>
  </si>
  <si>
    <t xml:space="preserve">Nội dung</t>
  </si>
  <si>
    <t xml:space="preserve">Chi tiết</t>
  </si>
  <si>
    <t xml:space="preserve">Phạm vi</t>
  </si>
  <si>
    <t xml:space="preserve">Bản rút gọn dành cho một tỉnh</t>
  </si>
  <si>
    <t xml:space="preserve">Gồm 64 mã chức năng gốc cộng phần xác thực hai lớp của DC-09; 41 mã còn lại hoãn, làm ngoài hệ thống, gộp hoặc ngoài phạm vi (sheet Hoãn hoặc cắt).</t>
  </si>
  <si>
    <t xml:space="preserve">Bộ NN&amp;MT không phải người dùng hệ thống</t>
  </si>
  <si>
    <t xml:space="preserve">Hệ thống chỉ có công cụ xuất gói hồ sơ 5 sao (SO-04). Gửi đánh giá và nhận kết quả bằng văn bản ngoài hệ thống. Sở chỉ đánh dấu trạng thái: Đã gửi đề nghị 5 sao, rồi Chuyển về công nhận cấp tỉnh (khi Bộ trả về) hoặc Đóng hồ sơ (kết quả khác).</t>
  </si>
  <si>
    <t xml:space="preserve">Giả định</t>
  </si>
  <si>
    <t xml:space="preserve">Cột Đợt triển khai</t>
  </si>
  <si>
    <t xml:space="preserve">Đợt 1 là luồng lõi. Đợt 2 gồm 4 mục có thể làm sau lõi: CT-15, SO-06, HD-12, CK-02 (QR và thống kê). Đây là đề xuất, có thể điều chỉnh.</t>
  </si>
  <si>
    <t xml:space="preserve">Cần kiểm tra</t>
  </si>
  <si>
    <t xml:space="preserve">Phân bổ điểm Phần A/B/C = 40/25/35 và ngưỡng từng hạng</t>
  </si>
  <si>
    <t xml:space="preserve">Chưa đối chiếu với Phụ lục QĐ 26/2026/QĐ-TTg; hệ thống cấu hình qua bộ tiêu chí có phiên bản.</t>
  </si>
  <si>
    <t xml:space="preserve">Mốc thời gian các đợt (xã, tỉnh)</t>
  </si>
  <si>
    <t xml:space="preserve">Lưu trong cấu hình đợt, không viết cứng.</t>
  </si>
  <si>
    <t xml:space="preserve">Vai trò và thẩm quyền của Tổ tư vấn</t>
  </si>
  <si>
    <t xml:space="preserve">Xác nhận đơn vị đảm nhiệm và quy chế hội đồng (số thành viên chấm, trách nhiệm điểm xác nhận).</t>
  </si>
  <si>
    <t xml:space="preserve">Rủi ro</t>
  </si>
  <si>
    <t xml:space="preserve">Thành viên chấp nhận điểm của Tổ tư vấn mà không xem xét</t>
  </si>
  <si>
    <t xml:space="preserve">Sao chép một chiều, bắt buộc xác nhận từng phiếu, bắt buộc ghi lý do khi điểm khác với điểm của Tổ tư vấn, lưu điểm gốc của Tổ tư vấn.</t>
  </si>
  <si>
    <t xml:space="preserve">Dịch vụ cloud trong nước</t>
  </si>
  <si>
    <t xml:space="preserve">Các thông tin về PostgreSQL quản lý, S3, WAF trên VNG (GreenNode), FPT, Viettel lấy từ nguồn công khai; cần xác nhận lại với nhà cung cấp trước khi chọn.</t>
  </si>
  <si>
    <t xml:space="preserve">Báo cáo của Tổ tư vấn có bắt buộc trước khi Hội đồng họp không</t>
  </si>
  <si>
    <t xml:space="preserve">Một số tỉnh quy định Hội đồng chỉ họp khi có báo cáo thẩm tra của Tổ tư vấn (ví dụ quy chế của Ninh Bình). Nếu bắt buộc thì chế độ chấm trực tiếp cần xem lại.</t>
  </si>
  <si>
    <t xml:space="preserve">Pháp lý</t>
  </si>
  <si>
    <t xml:space="preserve">NĐ 13/2023 và cấp độ an toàn thông tin</t>
  </si>
  <si>
    <t xml:space="preserve">Xác nhận yêu cầu cụ thể với đơn vị chủ quản.</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</si>
</sst>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b val="true"/>
      <sz val="10"/>
      <color rgb="FFFFFFFF"/>
      <name val="Arial"/>
      <family val="0"/>
      <charset val="1"/>
    </font>
    <font>
      <sz val="1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D9E1F2"/>
        <bgColor rgb="FFDDEBF7"/>
      </patternFill>
    </fill>
    <fill>
      <patternFill patternType="solid">
        <fgColor rgb="FFE2EFDA"/>
        <bgColor rgb="FFDDEBF7"/>
      </patternFill>
    </fill>
    <fill>
      <patternFill patternType="solid">
        <fgColor rgb="FFFFF2CC"/>
        <bgColor rgb="FFE2EFDA"/>
      </patternFill>
    </fill>
    <fill>
      <patternFill patternType="solid">
        <fgColor rgb="FFC6E0B4"/>
        <bgColor rgb="FFD9D9D9"/>
      </patternFill>
    </fill>
    <fill>
      <patternFill patternType="solid">
        <fgColor rgb="FFFFE699"/>
        <bgColor rgb="FFFFF2CC"/>
      </patternFill>
    </fill>
    <fill>
      <patternFill patternType="solid">
        <fgColor rgb="FFDDEBF7"/>
        <bgColor rgb="FFD9E1F2"/>
      </patternFill>
    </fill>
    <fill>
      <patternFill patternType="solid">
        <fgColor rgb="FFD9D9D9"/>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5" fontId="6"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5" fontId="6" fillId="3"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C6E0B4"/>
          <bgColor rgb="FF000000"/>
        </patternFill>
      </fill>
    </dxf>
    <dxf>
      <fill>
        <patternFill patternType="solid">
          <fgColor rgb="FFFFE699"/>
          <bgColor rgb="FF000000"/>
        </patternFill>
      </fill>
    </dxf>
    <dxf>
      <fill>
        <patternFill patternType="solid">
          <fgColor rgb="FFD9D9D9"/>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E2EFDA"/>
      <rgbColor rgb="FFFFE699"/>
      <rgbColor rgb="FF99CCFF"/>
      <rgbColor rgb="FFFF99CC"/>
      <rgbColor rgb="FFCC99FF"/>
      <rgbColor rgb="FFC6E0B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0"/>
    <col collapsed="false" customWidth="true" hidden="false" outlineLevel="0" max="3" min="3" style="0" width="14"/>
    <col collapsed="false" customWidth="true" hidden="false" outlineLevel="0" max="4" min="4" style="0" width="12"/>
    <col collapsed="false" customWidth="true" hidden="false" outlineLevel="0" max="6" min="5" style="0" width="10"/>
    <col collapsed="false" customWidth="true" hidden="false" outlineLevel="0" max="7" min="7" style="0" width="11"/>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c r="D5" s="4" t="s">
        <v>6</v>
      </c>
      <c r="E5" s="4" t="s">
        <v>7</v>
      </c>
      <c r="F5" s="4" t="s">
        <v>8</v>
      </c>
      <c r="G5" s="4" t="s">
        <v>9</v>
      </c>
    </row>
    <row r="6" customFormat="false" ht="15" hidden="false" customHeight="false" outlineLevel="0" collapsed="false">
      <c r="A6" s="5" t="s">
        <v>10</v>
      </c>
      <c r="B6" s="6" t="n">
        <f aca="false">COUNTIFS('Tính năng rút gọn'!$B$2:$B$300,$A6)</f>
        <v>11</v>
      </c>
      <c r="C6" s="6" t="n">
        <f aca="false">COUNTIFS('Tính năng rút gọn'!$B$2:$B$300,$A6,'Tính năng rút gọn'!$E$2:$E$300,C$5)</f>
        <v>9</v>
      </c>
      <c r="D6" s="6" t="n">
        <f aca="false">COUNTIFS('Tính năng rút gọn'!$B$2:$B$300,$A6,'Tính năng rút gọn'!$E$2:$E$300,D$5)</f>
        <v>2</v>
      </c>
      <c r="E6" s="6" t="n">
        <f aca="false">COUNTIFS('Tính năng rút gọn'!$B$2:$B$300,$A6,'Tính năng rút gọn'!$F$2:$F$300,E$5)</f>
        <v>10</v>
      </c>
      <c r="F6" s="6" t="n">
        <f aca="false">COUNTIFS('Tính năng rút gọn'!$B$2:$B$300,$A6,'Tính năng rút gọn'!$F$2:$F$300,F$5)</f>
        <v>1</v>
      </c>
    </row>
    <row r="7" customFormat="false" ht="15" hidden="false" customHeight="false" outlineLevel="0" collapsed="false">
      <c r="A7" s="5" t="s">
        <v>11</v>
      </c>
      <c r="B7" s="6" t="n">
        <f aca="false">COUNTIFS('Tính năng rút gọn'!$B$2:$B$300,$A7)</f>
        <v>7</v>
      </c>
      <c r="C7" s="6" t="n">
        <f aca="false">COUNTIFS('Tính năng rút gọn'!$B$2:$B$300,$A7,'Tính năng rút gọn'!$E$2:$E$300,C$5)</f>
        <v>7</v>
      </c>
      <c r="D7" s="6" t="n">
        <f aca="false">COUNTIFS('Tính năng rút gọn'!$B$2:$B$300,$A7,'Tính năng rút gọn'!$E$2:$E$300,D$5)</f>
        <v>0</v>
      </c>
      <c r="E7" s="6" t="n">
        <f aca="false">COUNTIFS('Tính năng rút gọn'!$B$2:$B$300,$A7,'Tính năng rút gọn'!$F$2:$F$300,E$5)</f>
        <v>7</v>
      </c>
      <c r="F7" s="6" t="n">
        <f aca="false">COUNTIFS('Tính năng rút gọn'!$B$2:$B$300,$A7,'Tính năng rút gọn'!$F$2:$F$300,F$5)</f>
        <v>0</v>
      </c>
    </row>
    <row r="8" customFormat="false" ht="15" hidden="false" customHeight="false" outlineLevel="0" collapsed="false">
      <c r="A8" s="5" t="s">
        <v>12</v>
      </c>
      <c r="B8" s="6" t="n">
        <f aca="false">COUNTIFS('Tính năng rút gọn'!$B$2:$B$300,$A8)</f>
        <v>4</v>
      </c>
      <c r="C8" s="6" t="n">
        <f aca="false">COUNTIFS('Tính năng rút gọn'!$B$2:$B$300,$A8,'Tính năng rút gọn'!$E$2:$E$300,C$5)</f>
        <v>2</v>
      </c>
      <c r="D8" s="6" t="n">
        <f aca="false">COUNTIFS('Tính năng rút gọn'!$B$2:$B$300,$A8,'Tính năng rút gọn'!$E$2:$E$300,D$5)</f>
        <v>2</v>
      </c>
      <c r="E8" s="6" t="n">
        <f aca="false">COUNTIFS('Tính năng rút gọn'!$B$2:$B$300,$A8,'Tính năng rút gọn'!$F$2:$F$300,E$5)</f>
        <v>3</v>
      </c>
      <c r="F8" s="6" t="n">
        <f aca="false">COUNTIFS('Tính năng rút gọn'!$B$2:$B$300,$A8,'Tính năng rút gọn'!$F$2:$F$300,F$5)</f>
        <v>1</v>
      </c>
    </row>
    <row r="9" customFormat="false" ht="15" hidden="false" customHeight="false" outlineLevel="0" collapsed="false">
      <c r="A9" s="5" t="s">
        <v>13</v>
      </c>
      <c r="B9" s="6" t="n">
        <f aca="false">COUNTIFS('Tính năng rút gọn'!$B$2:$B$300,$A9)</f>
        <v>11</v>
      </c>
      <c r="C9" s="6" t="n">
        <f aca="false">COUNTIFS('Tính năng rút gọn'!$B$2:$B$300,$A9,'Tính năng rút gọn'!$E$2:$E$300,C$5)</f>
        <v>9</v>
      </c>
      <c r="D9" s="6" t="n">
        <f aca="false">COUNTIFS('Tính năng rút gọn'!$B$2:$B$300,$A9,'Tính năng rút gọn'!$E$2:$E$300,D$5)</f>
        <v>2</v>
      </c>
      <c r="E9" s="6" t="n">
        <f aca="false">COUNTIFS('Tính năng rút gọn'!$B$2:$B$300,$A9,'Tính năng rút gọn'!$F$2:$F$300,E$5)</f>
        <v>10</v>
      </c>
      <c r="F9" s="6" t="n">
        <f aca="false">COUNTIFS('Tính năng rút gọn'!$B$2:$B$300,$A9,'Tính năng rút gọn'!$F$2:$F$300,F$5)</f>
        <v>1</v>
      </c>
    </row>
    <row r="10" customFormat="false" ht="15" hidden="false" customHeight="false" outlineLevel="0" collapsed="false">
      <c r="A10" s="5" t="s">
        <v>14</v>
      </c>
      <c r="B10" s="6" t="n">
        <f aca="false">COUNTIFS('Tính năng rút gọn'!$B$2:$B$300,$A10)</f>
        <v>8</v>
      </c>
      <c r="C10" s="6" t="n">
        <f aca="false">COUNTIFS('Tính năng rút gọn'!$B$2:$B$300,$A10,'Tính năng rút gọn'!$E$2:$E$300,C$5)</f>
        <v>8</v>
      </c>
      <c r="D10" s="6" t="n">
        <f aca="false">COUNTIFS('Tính năng rút gọn'!$B$2:$B$300,$A10,'Tính năng rút gọn'!$E$2:$E$300,D$5)</f>
        <v>0</v>
      </c>
      <c r="E10" s="6" t="n">
        <f aca="false">COUNTIFS('Tính năng rút gọn'!$B$2:$B$300,$A10,'Tính năng rút gọn'!$F$2:$F$300,E$5)</f>
        <v>8</v>
      </c>
      <c r="F10" s="6" t="n">
        <f aca="false">COUNTIFS('Tính năng rút gọn'!$B$2:$B$300,$A10,'Tính năng rút gọn'!$F$2:$F$300,F$5)</f>
        <v>0</v>
      </c>
    </row>
    <row r="11" customFormat="false" ht="15" hidden="false" customHeight="false" outlineLevel="0" collapsed="false">
      <c r="A11" s="5" t="s">
        <v>15</v>
      </c>
      <c r="B11" s="6" t="n">
        <f aca="false">COUNTIFS('Tính năng rút gọn'!$B$2:$B$300,$A11)</f>
        <v>8</v>
      </c>
      <c r="C11" s="6" t="n">
        <f aca="false">COUNTIFS('Tính năng rút gọn'!$B$2:$B$300,$A11,'Tính năng rút gọn'!$E$2:$E$300,C$5)</f>
        <v>8</v>
      </c>
      <c r="D11" s="6" t="n">
        <f aca="false">COUNTIFS('Tính năng rút gọn'!$B$2:$B$300,$A11,'Tính năng rút gọn'!$E$2:$E$300,D$5)</f>
        <v>0</v>
      </c>
      <c r="E11" s="6" t="n">
        <f aca="false">COUNTIFS('Tính năng rút gọn'!$B$2:$B$300,$A11,'Tính năng rút gọn'!$F$2:$F$300,E$5)</f>
        <v>8</v>
      </c>
      <c r="F11" s="6" t="n">
        <f aca="false">COUNTIFS('Tính năng rút gọn'!$B$2:$B$300,$A11,'Tính năng rút gọn'!$F$2:$F$300,F$5)</f>
        <v>0</v>
      </c>
    </row>
    <row r="12" customFormat="false" ht="15" hidden="false" customHeight="false" outlineLevel="0" collapsed="false">
      <c r="A12" s="5" t="s">
        <v>16</v>
      </c>
      <c r="B12" s="6" t="n">
        <f aca="false">COUNTIFS('Tính năng rút gọn'!$B$2:$B$300,$A12)</f>
        <v>9</v>
      </c>
      <c r="C12" s="6" t="n">
        <f aca="false">COUNTIFS('Tính năng rút gọn'!$B$2:$B$300,$A12,'Tính năng rút gọn'!$E$2:$E$300,C$5)</f>
        <v>7</v>
      </c>
      <c r="D12" s="6" t="n">
        <f aca="false">COUNTIFS('Tính năng rút gọn'!$B$2:$B$300,$A12,'Tính năng rút gọn'!$E$2:$E$300,D$5)</f>
        <v>2</v>
      </c>
      <c r="E12" s="6" t="n">
        <f aca="false">COUNTIFS('Tính năng rút gọn'!$B$2:$B$300,$A12,'Tính năng rút gọn'!$F$2:$F$300,E$5)</f>
        <v>9</v>
      </c>
      <c r="F12" s="6" t="n">
        <f aca="false">COUNTIFS('Tính năng rút gọn'!$B$2:$B$300,$A12,'Tính năng rút gọn'!$F$2:$F$300,F$5)</f>
        <v>0</v>
      </c>
    </row>
    <row r="13" customFormat="false" ht="15" hidden="false" customHeight="false" outlineLevel="0" collapsed="false">
      <c r="A13" s="5" t="s">
        <v>17</v>
      </c>
      <c r="B13" s="6" t="n">
        <f aca="false">COUNTIFS('Tính năng rút gọn'!$B$2:$B$300,$A13)</f>
        <v>1</v>
      </c>
      <c r="C13" s="6" t="n">
        <f aca="false">COUNTIFS('Tính năng rút gọn'!$B$2:$B$300,$A13,'Tính năng rút gọn'!$E$2:$E$300,C$5)</f>
        <v>0</v>
      </c>
      <c r="D13" s="6" t="n">
        <f aca="false">COUNTIFS('Tính năng rút gọn'!$B$2:$B$300,$A13,'Tính năng rút gọn'!$E$2:$E$300,D$5)</f>
        <v>1</v>
      </c>
      <c r="E13" s="6" t="n">
        <f aca="false">COUNTIFS('Tính năng rút gọn'!$B$2:$B$300,$A13,'Tính năng rút gọn'!$F$2:$F$300,E$5)</f>
        <v>0</v>
      </c>
      <c r="F13" s="6" t="n">
        <f aca="false">COUNTIFS('Tính năng rút gọn'!$B$2:$B$300,$A13,'Tính năng rút gọn'!$F$2:$F$300,F$5)</f>
        <v>1</v>
      </c>
    </row>
    <row r="14" customFormat="false" ht="15" hidden="false" customHeight="false" outlineLevel="0" collapsed="false">
      <c r="A14" s="5" t="s">
        <v>18</v>
      </c>
      <c r="B14" s="6" t="n">
        <f aca="false">COUNTIFS('Tính năng rút gọn'!$B$2:$B$300,$A14)</f>
        <v>6</v>
      </c>
      <c r="C14" s="6" t="n">
        <f aca="false">COUNTIFS('Tính năng rút gọn'!$B$2:$B$300,$A14,'Tính năng rút gọn'!$E$2:$E$300,C$5)</f>
        <v>5</v>
      </c>
      <c r="D14" s="6" t="n">
        <f aca="false">COUNTIFS('Tính năng rút gọn'!$B$2:$B$300,$A14,'Tính năng rút gọn'!$E$2:$E$300,D$5)</f>
        <v>1</v>
      </c>
      <c r="E14" s="6" t="n">
        <f aca="false">COUNTIFS('Tính năng rút gọn'!$B$2:$B$300,$A14,'Tính năng rút gọn'!$F$2:$F$300,E$5)</f>
        <v>6</v>
      </c>
      <c r="F14" s="6" t="n">
        <f aca="false">COUNTIFS('Tính năng rút gọn'!$B$2:$B$300,$A14,'Tính năng rút gọn'!$F$2:$F$300,F$5)</f>
        <v>0</v>
      </c>
    </row>
    <row r="15" customFormat="false" ht="15" hidden="false" customHeight="false" outlineLevel="0" collapsed="false">
      <c r="A15" s="7" t="s">
        <v>19</v>
      </c>
      <c r="B15" s="8" t="n">
        <f aca="false">SUM(B6:B14)</f>
        <v>65</v>
      </c>
      <c r="C15" s="8" t="n">
        <f aca="false">SUM(C6:C14)</f>
        <v>55</v>
      </c>
      <c r="D15" s="8" t="n">
        <f aca="false">SUM(D6:D14)</f>
        <v>10</v>
      </c>
      <c r="E15" s="8" t="n">
        <f aca="false">SUM(E6:E14)</f>
        <v>61</v>
      </c>
      <c r="F15" s="8" t="n">
        <f aca="false">SUM(F6:F14)</f>
        <v>4</v>
      </c>
      <c r="G15" s="8" t="str">
        <f aca="false">IF(AND(B15=C15+D15,B15=E15+F15,B15=COUNTA('Tính năng rút gọn'!$A$2:$A$300)),"OK","Lỗi")</f>
        <v>OK</v>
      </c>
    </row>
    <row r="17" customFormat="false" ht="15" hidden="false" customHeight="false" outlineLevel="0" collapsed="false">
      <c r="A17" s="3" t="s">
        <v>20</v>
      </c>
    </row>
    <row r="18" customFormat="false" ht="15" hidden="false" customHeight="false" outlineLevel="0" collapsed="false">
      <c r="A18" s="9" t="s">
        <v>21</v>
      </c>
      <c r="B18" s="10" t="n">
        <f aca="false">COUNTIF('Hoãn hoặc cắt'!$D$2:$D$300,$A18)</f>
        <v>16</v>
      </c>
    </row>
    <row r="19" customFormat="false" ht="15" hidden="false" customHeight="false" outlineLevel="0" collapsed="false">
      <c r="A19" s="9" t="s">
        <v>22</v>
      </c>
      <c r="B19" s="10" t="n">
        <f aca="false">COUNTIF('Hoãn hoặc cắt'!$D$2:$D$300,$A19)</f>
        <v>10</v>
      </c>
    </row>
    <row r="20" customFormat="false" ht="15" hidden="false" customHeight="false" outlineLevel="0" collapsed="false">
      <c r="A20" s="9" t="s">
        <v>23</v>
      </c>
      <c r="B20" s="10" t="n">
        <f aca="false">COUNTIF('Hoãn hoặc cắt'!$D$2:$D$300,$A20)</f>
        <v>5</v>
      </c>
    </row>
    <row r="21" customFormat="false" ht="15" hidden="false" customHeight="false" outlineLevel="0" collapsed="false">
      <c r="A21" s="9" t="s">
        <v>24</v>
      </c>
      <c r="B21" s="10" t="n">
        <f aca="false">COUNTIF('Hoãn hoặc cắt'!$D$2:$D$300,$A21)</f>
        <v>10</v>
      </c>
    </row>
    <row r="22" customFormat="false" ht="15" hidden="false" customHeight="false" outlineLevel="0" collapsed="false">
      <c r="A22" s="3" t="s">
        <v>25</v>
      </c>
      <c r="B22" s="11" t="n">
        <f aca="false">SUM(B18:B21)</f>
        <v>41</v>
      </c>
    </row>
    <row r="23" customFormat="false" ht="15" hidden="false" customHeight="false" outlineLevel="0" collapsed="false">
      <c r="A23" s="12" t="s">
        <v>26</v>
      </c>
      <c r="B23" s="13" t="n">
        <f aca="false">B15-1</f>
        <v>64</v>
      </c>
    </row>
    <row r="24" customFormat="false" ht="15" hidden="false" customHeight="false" outlineLevel="0" collapsed="false">
      <c r="A24" s="3" t="s">
        <v>27</v>
      </c>
      <c r="B24" s="11" t="n">
        <f aca="false">B22+B23</f>
        <v>105</v>
      </c>
      <c r="C24" s="3" t="str">
        <f aca="false">IF(B24=105,"OK","Lỗi")</f>
        <v>OK</v>
      </c>
    </row>
    <row r="26" customFormat="false" ht="15" hidden="false" customHeight="false" outlineLevel="0" collapsed="false">
      <c r="A26" s="3" t="s">
        <v>28</v>
      </c>
    </row>
    <row r="27" customFormat="false" ht="15" hidden="false" customHeight="false" outlineLevel="0" collapsed="false">
      <c r="A27" s="14" t="s">
        <v>5</v>
      </c>
      <c r="B27" s="12" t="s">
        <v>29</v>
      </c>
    </row>
    <row r="28" customFormat="false" ht="15" hidden="false" customHeight="false" outlineLevel="0" collapsed="false">
      <c r="A28" s="15" t="s">
        <v>6</v>
      </c>
      <c r="B28" s="12" t="s">
        <v>30</v>
      </c>
    </row>
    <row r="29" customFormat="false" ht="15" hidden="false" customHeight="false" outlineLevel="0" collapsed="false">
      <c r="A29" s="16" t="s">
        <v>7</v>
      </c>
      <c r="B29" s="12" t="s">
        <v>31</v>
      </c>
    </row>
    <row r="30" customFormat="false" ht="15" hidden="false" customHeight="false" outlineLevel="0" collapsed="false">
      <c r="A30" s="17" t="s">
        <v>8</v>
      </c>
      <c r="B30" s="12" t="s">
        <v>32</v>
      </c>
    </row>
    <row r="32" customFormat="false" ht="15" hidden="false" customHeight="false" outlineLevel="0" collapsed="false">
      <c r="A32" s="2"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24"/>
    <col collapsed="false" customWidth="true" hidden="false" outlineLevel="0" max="4" min="4" style="0" width="72"/>
    <col collapsed="false" customWidth="true" hidden="false" outlineLevel="0" max="6" min="5" style="0" width="13"/>
    <col collapsed="false" customWidth="true" hidden="false" outlineLevel="0" max="7" min="7" style="0" width="11"/>
    <col collapsed="false" customWidth="true" hidden="false" outlineLevel="0" max="8" min="8" style="0" width="52"/>
    <col collapsed="false" customWidth="true" hidden="false" outlineLevel="0" max="9" min="9" style="0" width="13"/>
  </cols>
  <sheetData>
    <row r="1" customFormat="false" ht="23.85" hidden="false" customHeight="false" outlineLevel="0" collapsed="false">
      <c r="A1" s="18" t="s">
        <v>34</v>
      </c>
      <c r="B1" s="18" t="s">
        <v>3</v>
      </c>
      <c r="C1" s="18" t="s">
        <v>35</v>
      </c>
      <c r="D1" s="18" t="s">
        <v>36</v>
      </c>
      <c r="E1" s="18" t="s">
        <v>37</v>
      </c>
      <c r="F1" s="18" t="s">
        <v>38</v>
      </c>
      <c r="G1" s="18" t="s">
        <v>39</v>
      </c>
      <c r="H1" s="18" t="s">
        <v>40</v>
      </c>
      <c r="I1" s="18" t="s">
        <v>41</v>
      </c>
    </row>
    <row r="2" customFormat="false" ht="15" hidden="false" customHeight="false" outlineLevel="0" collapsed="false">
      <c r="A2" s="19" t="s">
        <v>42</v>
      </c>
      <c r="B2" s="20" t="s">
        <v>10</v>
      </c>
      <c r="C2" s="20" t="s">
        <v>43</v>
      </c>
      <c r="D2" s="20" t="s">
        <v>44</v>
      </c>
      <c r="E2" s="21" t="s">
        <v>5</v>
      </c>
      <c r="F2" s="22" t="s">
        <v>7</v>
      </c>
      <c r="G2" s="19" t="s">
        <v>45</v>
      </c>
      <c r="H2" s="20"/>
      <c r="I2" s="19" t="s">
        <v>46</v>
      </c>
    </row>
    <row r="3" customFormat="false" ht="15" hidden="false" customHeight="false" outlineLevel="0" collapsed="false">
      <c r="A3" s="19" t="s">
        <v>47</v>
      </c>
      <c r="B3" s="20" t="s">
        <v>10</v>
      </c>
      <c r="C3" s="20" t="s">
        <v>43</v>
      </c>
      <c r="D3" s="20" t="s">
        <v>48</v>
      </c>
      <c r="E3" s="21" t="s">
        <v>5</v>
      </c>
      <c r="F3" s="22" t="s">
        <v>7</v>
      </c>
      <c r="G3" s="19" t="s">
        <v>45</v>
      </c>
      <c r="H3" s="20"/>
      <c r="I3" s="19" t="s">
        <v>46</v>
      </c>
    </row>
    <row r="4" customFormat="false" ht="15" hidden="false" customHeight="false" outlineLevel="0" collapsed="false">
      <c r="A4" s="19" t="s">
        <v>49</v>
      </c>
      <c r="B4" s="20" t="s">
        <v>10</v>
      </c>
      <c r="C4" s="20" t="s">
        <v>43</v>
      </c>
      <c r="D4" s="20" t="s">
        <v>50</v>
      </c>
      <c r="E4" s="21" t="s">
        <v>5</v>
      </c>
      <c r="F4" s="22" t="s">
        <v>7</v>
      </c>
      <c r="G4" s="19" t="s">
        <v>51</v>
      </c>
      <c r="H4" s="20"/>
      <c r="I4" s="19" t="s">
        <v>46</v>
      </c>
    </row>
    <row r="5" customFormat="false" ht="15" hidden="false" customHeight="false" outlineLevel="0" collapsed="false">
      <c r="A5" s="19" t="s">
        <v>52</v>
      </c>
      <c r="B5" s="20" t="s">
        <v>10</v>
      </c>
      <c r="C5" s="20" t="s">
        <v>53</v>
      </c>
      <c r="D5" s="20" t="s">
        <v>54</v>
      </c>
      <c r="E5" s="21" t="s">
        <v>5</v>
      </c>
      <c r="F5" s="22" t="s">
        <v>7</v>
      </c>
      <c r="G5" s="19" t="s">
        <v>51</v>
      </c>
      <c r="H5" s="20"/>
      <c r="I5" s="19" t="s">
        <v>46</v>
      </c>
    </row>
    <row r="6" customFormat="false" ht="15" hidden="false" customHeight="false" outlineLevel="0" collapsed="false">
      <c r="A6" s="19" t="s">
        <v>55</v>
      </c>
      <c r="B6" s="20" t="s">
        <v>10</v>
      </c>
      <c r="C6" s="20" t="s">
        <v>53</v>
      </c>
      <c r="D6" s="20" t="s">
        <v>56</v>
      </c>
      <c r="E6" s="21" t="s">
        <v>5</v>
      </c>
      <c r="F6" s="22" t="s">
        <v>7</v>
      </c>
      <c r="G6" s="19" t="s">
        <v>51</v>
      </c>
      <c r="H6" s="20"/>
      <c r="I6" s="19" t="s">
        <v>46</v>
      </c>
    </row>
    <row r="7" customFormat="false" ht="15" hidden="false" customHeight="false" outlineLevel="0" collapsed="false">
      <c r="A7" s="19" t="s">
        <v>57</v>
      </c>
      <c r="B7" s="20" t="s">
        <v>10</v>
      </c>
      <c r="C7" s="20" t="s">
        <v>58</v>
      </c>
      <c r="D7" s="20" t="s">
        <v>59</v>
      </c>
      <c r="E7" s="21" t="s">
        <v>5</v>
      </c>
      <c r="F7" s="22" t="s">
        <v>7</v>
      </c>
      <c r="G7" s="19" t="s">
        <v>60</v>
      </c>
      <c r="H7" s="20"/>
      <c r="I7" s="19" t="s">
        <v>46</v>
      </c>
    </row>
    <row r="8" customFormat="false" ht="15" hidden="false" customHeight="false" outlineLevel="0" collapsed="false">
      <c r="A8" s="19" t="s">
        <v>61</v>
      </c>
      <c r="B8" s="20" t="s">
        <v>10</v>
      </c>
      <c r="C8" s="20" t="s">
        <v>58</v>
      </c>
      <c r="D8" s="20" t="s">
        <v>62</v>
      </c>
      <c r="E8" s="21" t="s">
        <v>5</v>
      </c>
      <c r="F8" s="22" t="s">
        <v>7</v>
      </c>
      <c r="G8" s="19" t="s">
        <v>60</v>
      </c>
      <c r="H8" s="20"/>
      <c r="I8" s="19" t="s">
        <v>46</v>
      </c>
    </row>
    <row r="9" customFormat="false" ht="15" hidden="false" customHeight="false" outlineLevel="0" collapsed="false">
      <c r="A9" s="19" t="s">
        <v>63</v>
      </c>
      <c r="B9" s="20" t="s">
        <v>10</v>
      </c>
      <c r="C9" s="20" t="s">
        <v>58</v>
      </c>
      <c r="D9" s="20" t="s">
        <v>64</v>
      </c>
      <c r="E9" s="21" t="s">
        <v>5</v>
      </c>
      <c r="F9" s="22" t="s">
        <v>7</v>
      </c>
      <c r="G9" s="19" t="s">
        <v>65</v>
      </c>
      <c r="H9" s="20"/>
      <c r="I9" s="19" t="s">
        <v>46</v>
      </c>
    </row>
    <row r="10" customFormat="false" ht="15" hidden="false" customHeight="false" outlineLevel="0" collapsed="false">
      <c r="A10" s="19" t="s">
        <v>66</v>
      </c>
      <c r="B10" s="20" t="s">
        <v>10</v>
      </c>
      <c r="C10" s="20" t="s">
        <v>58</v>
      </c>
      <c r="D10" s="20" t="s">
        <v>67</v>
      </c>
      <c r="E10" s="23" t="s">
        <v>6</v>
      </c>
      <c r="F10" s="22" t="s">
        <v>7</v>
      </c>
      <c r="G10" s="19" t="s">
        <v>60</v>
      </c>
      <c r="H10" s="20" t="s">
        <v>68</v>
      </c>
      <c r="I10" s="19" t="s">
        <v>46</v>
      </c>
    </row>
    <row r="11" customFormat="false" ht="15" hidden="false" customHeight="false" outlineLevel="0" collapsed="false">
      <c r="A11" s="19" t="s">
        <v>69</v>
      </c>
      <c r="B11" s="20" t="s">
        <v>10</v>
      </c>
      <c r="C11" s="20" t="s">
        <v>58</v>
      </c>
      <c r="D11" s="20" t="s">
        <v>70</v>
      </c>
      <c r="E11" s="21" t="s">
        <v>5</v>
      </c>
      <c r="F11" s="22" t="s">
        <v>7</v>
      </c>
      <c r="G11" s="19" t="s">
        <v>71</v>
      </c>
      <c r="H11" s="20"/>
      <c r="I11" s="19" t="s">
        <v>46</v>
      </c>
    </row>
    <row r="12" customFormat="false" ht="15" hidden="false" customHeight="false" outlineLevel="0" collapsed="false">
      <c r="A12" s="19" t="s">
        <v>72</v>
      </c>
      <c r="B12" s="20" t="s">
        <v>10</v>
      </c>
      <c r="C12" s="20" t="s">
        <v>73</v>
      </c>
      <c r="D12" s="20" t="s">
        <v>74</v>
      </c>
      <c r="E12" s="23" t="s">
        <v>6</v>
      </c>
      <c r="F12" s="24" t="s">
        <v>8</v>
      </c>
      <c r="G12" s="19" t="s">
        <v>71</v>
      </c>
      <c r="H12" s="20" t="s">
        <v>75</v>
      </c>
      <c r="I12" s="19" t="s">
        <v>46</v>
      </c>
    </row>
    <row r="13" customFormat="false" ht="15" hidden="false" customHeight="false" outlineLevel="0" collapsed="false">
      <c r="A13" s="19" t="s">
        <v>76</v>
      </c>
      <c r="B13" s="20" t="s">
        <v>11</v>
      </c>
      <c r="C13" s="20" t="s">
        <v>77</v>
      </c>
      <c r="D13" s="20" t="s">
        <v>78</v>
      </c>
      <c r="E13" s="21" t="s">
        <v>5</v>
      </c>
      <c r="F13" s="22" t="s">
        <v>7</v>
      </c>
      <c r="G13" s="19" t="s">
        <v>79</v>
      </c>
      <c r="H13" s="20"/>
      <c r="I13" s="19" t="s">
        <v>46</v>
      </c>
    </row>
    <row r="14" customFormat="false" ht="15" hidden="false" customHeight="false" outlineLevel="0" collapsed="false">
      <c r="A14" s="19" t="s">
        <v>80</v>
      </c>
      <c r="B14" s="20" t="s">
        <v>11</v>
      </c>
      <c r="C14" s="20" t="s">
        <v>77</v>
      </c>
      <c r="D14" s="20" t="s">
        <v>81</v>
      </c>
      <c r="E14" s="21" t="s">
        <v>5</v>
      </c>
      <c r="F14" s="22" t="s">
        <v>7</v>
      </c>
      <c r="G14" s="19" t="s">
        <v>79</v>
      </c>
      <c r="H14" s="20"/>
      <c r="I14" s="19" t="s">
        <v>46</v>
      </c>
    </row>
    <row r="15" customFormat="false" ht="15" hidden="false" customHeight="false" outlineLevel="0" collapsed="false">
      <c r="A15" s="19" t="s">
        <v>82</v>
      </c>
      <c r="B15" s="20" t="s">
        <v>11</v>
      </c>
      <c r="C15" s="20" t="s">
        <v>77</v>
      </c>
      <c r="D15" s="20" t="s">
        <v>83</v>
      </c>
      <c r="E15" s="21" t="s">
        <v>5</v>
      </c>
      <c r="F15" s="22" t="s">
        <v>7</v>
      </c>
      <c r="G15" s="19" t="s">
        <v>79</v>
      </c>
      <c r="H15" s="20"/>
      <c r="I15" s="19" t="s">
        <v>46</v>
      </c>
    </row>
    <row r="16" customFormat="false" ht="23.85" hidden="false" customHeight="false" outlineLevel="0" collapsed="false">
      <c r="A16" s="19" t="s">
        <v>84</v>
      </c>
      <c r="B16" s="20" t="s">
        <v>11</v>
      </c>
      <c r="C16" s="20" t="s">
        <v>85</v>
      </c>
      <c r="D16" s="20" t="s">
        <v>86</v>
      </c>
      <c r="E16" s="21" t="s">
        <v>5</v>
      </c>
      <c r="F16" s="22" t="s">
        <v>7</v>
      </c>
      <c r="G16" s="19" t="s">
        <v>87</v>
      </c>
      <c r="H16" s="20"/>
      <c r="I16" s="19" t="s">
        <v>46</v>
      </c>
    </row>
    <row r="17" customFormat="false" ht="15" hidden="false" customHeight="false" outlineLevel="0" collapsed="false">
      <c r="A17" s="19" t="s">
        <v>88</v>
      </c>
      <c r="B17" s="20" t="s">
        <v>11</v>
      </c>
      <c r="C17" s="20" t="s">
        <v>85</v>
      </c>
      <c r="D17" s="20" t="s">
        <v>89</v>
      </c>
      <c r="E17" s="21" t="s">
        <v>5</v>
      </c>
      <c r="F17" s="22" t="s">
        <v>7</v>
      </c>
      <c r="G17" s="19" t="s">
        <v>65</v>
      </c>
      <c r="H17" s="20"/>
      <c r="I17" s="19" t="s">
        <v>46</v>
      </c>
    </row>
    <row r="18" customFormat="false" ht="15" hidden="false" customHeight="false" outlineLevel="0" collapsed="false">
      <c r="A18" s="19" t="s">
        <v>90</v>
      </c>
      <c r="B18" s="20" t="s">
        <v>11</v>
      </c>
      <c r="C18" s="20" t="s">
        <v>91</v>
      </c>
      <c r="D18" s="20" t="s">
        <v>92</v>
      </c>
      <c r="E18" s="21" t="s">
        <v>5</v>
      </c>
      <c r="F18" s="22" t="s">
        <v>7</v>
      </c>
      <c r="G18" s="19" t="s">
        <v>87</v>
      </c>
      <c r="H18" s="20"/>
      <c r="I18" s="19" t="s">
        <v>46</v>
      </c>
    </row>
    <row r="19" customFormat="false" ht="15" hidden="false" customHeight="false" outlineLevel="0" collapsed="false">
      <c r="A19" s="19" t="s">
        <v>93</v>
      </c>
      <c r="B19" s="20" t="s">
        <v>11</v>
      </c>
      <c r="C19" s="20" t="s">
        <v>91</v>
      </c>
      <c r="D19" s="20" t="s">
        <v>94</v>
      </c>
      <c r="E19" s="21" t="s">
        <v>5</v>
      </c>
      <c r="F19" s="22" t="s">
        <v>7</v>
      </c>
      <c r="G19" s="19" t="s">
        <v>87</v>
      </c>
      <c r="H19" s="20"/>
      <c r="I19" s="19" t="s">
        <v>46</v>
      </c>
    </row>
    <row r="20" customFormat="false" ht="15" hidden="false" customHeight="false" outlineLevel="0" collapsed="false">
      <c r="A20" s="19" t="s">
        <v>95</v>
      </c>
      <c r="B20" s="20" t="s">
        <v>12</v>
      </c>
      <c r="C20" s="20" t="s">
        <v>96</v>
      </c>
      <c r="D20" s="20" t="s">
        <v>97</v>
      </c>
      <c r="E20" s="21" t="s">
        <v>5</v>
      </c>
      <c r="F20" s="22" t="s">
        <v>7</v>
      </c>
      <c r="G20" s="19" t="s">
        <v>98</v>
      </c>
      <c r="H20" s="20"/>
      <c r="I20" s="19" t="s">
        <v>46</v>
      </c>
    </row>
    <row r="21" customFormat="false" ht="15" hidden="false" customHeight="false" outlineLevel="0" collapsed="false">
      <c r="A21" s="19" t="s">
        <v>99</v>
      </c>
      <c r="B21" s="20" t="s">
        <v>12</v>
      </c>
      <c r="C21" s="20" t="s">
        <v>100</v>
      </c>
      <c r="D21" s="20" t="s">
        <v>101</v>
      </c>
      <c r="E21" s="21" t="s">
        <v>5</v>
      </c>
      <c r="F21" s="22" t="s">
        <v>7</v>
      </c>
      <c r="G21" s="19" t="s">
        <v>102</v>
      </c>
      <c r="H21" s="20"/>
      <c r="I21" s="19" t="s">
        <v>46</v>
      </c>
    </row>
    <row r="22" customFormat="false" ht="46.25" hidden="false" customHeight="false" outlineLevel="0" collapsed="false">
      <c r="A22" s="19" t="s">
        <v>103</v>
      </c>
      <c r="B22" s="20" t="s">
        <v>12</v>
      </c>
      <c r="C22" s="20" t="s">
        <v>104</v>
      </c>
      <c r="D22" s="20" t="s">
        <v>105</v>
      </c>
      <c r="E22" s="23" t="s">
        <v>6</v>
      </c>
      <c r="F22" s="22" t="s">
        <v>7</v>
      </c>
      <c r="G22" s="19" t="s">
        <v>106</v>
      </c>
      <c r="H22" s="20" t="s">
        <v>107</v>
      </c>
      <c r="I22" s="19" t="s">
        <v>46</v>
      </c>
    </row>
    <row r="23" customFormat="false" ht="15" hidden="false" customHeight="false" outlineLevel="0" collapsed="false">
      <c r="A23" s="19" t="s">
        <v>108</v>
      </c>
      <c r="B23" s="20" t="s">
        <v>12</v>
      </c>
      <c r="C23" s="20" t="s">
        <v>109</v>
      </c>
      <c r="D23" s="20" t="s">
        <v>110</v>
      </c>
      <c r="E23" s="23" t="s">
        <v>6</v>
      </c>
      <c r="F23" s="24" t="s">
        <v>8</v>
      </c>
      <c r="G23" s="19" t="s">
        <v>111</v>
      </c>
      <c r="H23" s="20" t="s">
        <v>112</v>
      </c>
      <c r="I23" s="19" t="s">
        <v>46</v>
      </c>
    </row>
    <row r="24" customFormat="false" ht="15" hidden="false" customHeight="false" outlineLevel="0" collapsed="false">
      <c r="A24" s="19" t="s">
        <v>113</v>
      </c>
      <c r="B24" s="20" t="s">
        <v>13</v>
      </c>
      <c r="C24" s="20" t="s">
        <v>114</v>
      </c>
      <c r="D24" s="20" t="s">
        <v>115</v>
      </c>
      <c r="E24" s="21" t="s">
        <v>5</v>
      </c>
      <c r="F24" s="22" t="s">
        <v>7</v>
      </c>
      <c r="G24" s="19" t="s">
        <v>116</v>
      </c>
      <c r="H24" s="20"/>
      <c r="I24" s="19" t="s">
        <v>46</v>
      </c>
    </row>
    <row r="25" customFormat="false" ht="15" hidden="false" customHeight="false" outlineLevel="0" collapsed="false">
      <c r="A25" s="19" t="s">
        <v>117</v>
      </c>
      <c r="B25" s="20" t="s">
        <v>13</v>
      </c>
      <c r="C25" s="20" t="s">
        <v>114</v>
      </c>
      <c r="D25" s="20" t="s">
        <v>118</v>
      </c>
      <c r="E25" s="21" t="s">
        <v>5</v>
      </c>
      <c r="F25" s="22" t="s">
        <v>7</v>
      </c>
      <c r="G25" s="19" t="s">
        <v>116</v>
      </c>
      <c r="H25" s="20"/>
      <c r="I25" s="19" t="s">
        <v>46</v>
      </c>
    </row>
    <row r="26" customFormat="false" ht="15" hidden="false" customHeight="false" outlineLevel="0" collapsed="false">
      <c r="A26" s="19" t="s">
        <v>119</v>
      </c>
      <c r="B26" s="20" t="s">
        <v>13</v>
      </c>
      <c r="C26" s="20" t="s">
        <v>114</v>
      </c>
      <c r="D26" s="20" t="s">
        <v>120</v>
      </c>
      <c r="E26" s="21" t="s">
        <v>5</v>
      </c>
      <c r="F26" s="22" t="s">
        <v>7</v>
      </c>
      <c r="G26" s="19" t="s">
        <v>116</v>
      </c>
      <c r="H26" s="20"/>
      <c r="I26" s="19" t="s">
        <v>46</v>
      </c>
    </row>
    <row r="27" customFormat="false" ht="15" hidden="false" customHeight="false" outlineLevel="0" collapsed="false">
      <c r="A27" s="19" t="s">
        <v>121</v>
      </c>
      <c r="B27" s="20" t="s">
        <v>13</v>
      </c>
      <c r="C27" s="20" t="s">
        <v>122</v>
      </c>
      <c r="D27" s="20" t="s">
        <v>123</v>
      </c>
      <c r="E27" s="21" t="s">
        <v>5</v>
      </c>
      <c r="F27" s="22" t="s">
        <v>7</v>
      </c>
      <c r="G27" s="19" t="s">
        <v>124</v>
      </c>
      <c r="H27" s="20"/>
      <c r="I27" s="19" t="s">
        <v>46</v>
      </c>
    </row>
    <row r="28" customFormat="false" ht="15" hidden="false" customHeight="false" outlineLevel="0" collapsed="false">
      <c r="A28" s="19" t="s">
        <v>125</v>
      </c>
      <c r="B28" s="20" t="s">
        <v>13</v>
      </c>
      <c r="C28" s="20" t="s">
        <v>122</v>
      </c>
      <c r="D28" s="20" t="s">
        <v>126</v>
      </c>
      <c r="E28" s="21" t="s">
        <v>5</v>
      </c>
      <c r="F28" s="22" t="s">
        <v>7</v>
      </c>
      <c r="G28" s="19" t="s">
        <v>124</v>
      </c>
      <c r="H28" s="20"/>
      <c r="I28" s="19" t="s">
        <v>46</v>
      </c>
    </row>
    <row r="29" customFormat="false" ht="15" hidden="false" customHeight="false" outlineLevel="0" collapsed="false">
      <c r="A29" s="19" t="s">
        <v>127</v>
      </c>
      <c r="B29" s="20" t="s">
        <v>13</v>
      </c>
      <c r="C29" s="20" t="s">
        <v>122</v>
      </c>
      <c r="D29" s="20" t="s">
        <v>128</v>
      </c>
      <c r="E29" s="23" t="s">
        <v>6</v>
      </c>
      <c r="F29" s="22" t="s">
        <v>7</v>
      </c>
      <c r="G29" s="19" t="s">
        <v>116</v>
      </c>
      <c r="H29" s="20" t="s">
        <v>129</v>
      </c>
      <c r="I29" s="19" t="s">
        <v>46</v>
      </c>
    </row>
    <row r="30" customFormat="false" ht="15" hidden="false" customHeight="false" outlineLevel="0" collapsed="false">
      <c r="A30" s="19" t="s">
        <v>130</v>
      </c>
      <c r="B30" s="20" t="s">
        <v>13</v>
      </c>
      <c r="C30" s="20" t="s">
        <v>122</v>
      </c>
      <c r="D30" s="20" t="s">
        <v>131</v>
      </c>
      <c r="E30" s="21" t="s">
        <v>5</v>
      </c>
      <c r="F30" s="22" t="s">
        <v>7</v>
      </c>
      <c r="G30" s="19" t="s">
        <v>124</v>
      </c>
      <c r="H30" s="20"/>
      <c r="I30" s="19" t="s">
        <v>46</v>
      </c>
    </row>
    <row r="31" customFormat="false" ht="15" hidden="false" customHeight="false" outlineLevel="0" collapsed="false">
      <c r="A31" s="19" t="s">
        <v>132</v>
      </c>
      <c r="B31" s="20" t="s">
        <v>13</v>
      </c>
      <c r="C31" s="20" t="s">
        <v>133</v>
      </c>
      <c r="D31" s="20" t="s">
        <v>134</v>
      </c>
      <c r="E31" s="23" t="s">
        <v>6</v>
      </c>
      <c r="F31" s="22" t="s">
        <v>7</v>
      </c>
      <c r="G31" s="19" t="s">
        <v>124</v>
      </c>
      <c r="H31" s="20" t="s">
        <v>135</v>
      </c>
      <c r="I31" s="19" t="s">
        <v>46</v>
      </c>
    </row>
    <row r="32" customFormat="false" ht="15" hidden="false" customHeight="false" outlineLevel="0" collapsed="false">
      <c r="A32" s="19" t="s">
        <v>136</v>
      </c>
      <c r="B32" s="20" t="s">
        <v>13</v>
      </c>
      <c r="C32" s="20" t="s">
        <v>133</v>
      </c>
      <c r="D32" s="20" t="s">
        <v>137</v>
      </c>
      <c r="E32" s="21" t="s">
        <v>5</v>
      </c>
      <c r="F32" s="22" t="s">
        <v>7</v>
      </c>
      <c r="G32" s="19" t="s">
        <v>71</v>
      </c>
      <c r="H32" s="20"/>
      <c r="I32" s="19" t="s">
        <v>46</v>
      </c>
    </row>
    <row r="33" customFormat="false" ht="15" hidden="false" customHeight="false" outlineLevel="0" collapsed="false">
      <c r="A33" s="19" t="s">
        <v>138</v>
      </c>
      <c r="B33" s="20" t="s">
        <v>13</v>
      </c>
      <c r="C33" s="20" t="s">
        <v>139</v>
      </c>
      <c r="D33" s="20" t="s">
        <v>140</v>
      </c>
      <c r="E33" s="21" t="s">
        <v>5</v>
      </c>
      <c r="F33" s="22" t="s">
        <v>7</v>
      </c>
      <c r="G33" s="19" t="s">
        <v>71</v>
      </c>
      <c r="H33" s="20"/>
      <c r="I33" s="19" t="s">
        <v>46</v>
      </c>
    </row>
    <row r="34" customFormat="false" ht="15" hidden="false" customHeight="false" outlineLevel="0" collapsed="false">
      <c r="A34" s="19" t="s">
        <v>141</v>
      </c>
      <c r="B34" s="20" t="s">
        <v>13</v>
      </c>
      <c r="C34" s="20" t="s">
        <v>139</v>
      </c>
      <c r="D34" s="20" t="s">
        <v>142</v>
      </c>
      <c r="E34" s="21" t="s">
        <v>5</v>
      </c>
      <c r="F34" s="24" t="s">
        <v>8</v>
      </c>
      <c r="G34" s="19" t="s">
        <v>71</v>
      </c>
      <c r="H34" s="20" t="s">
        <v>143</v>
      </c>
      <c r="I34" s="19" t="s">
        <v>46</v>
      </c>
    </row>
    <row r="35" customFormat="false" ht="15" hidden="false" customHeight="false" outlineLevel="0" collapsed="false">
      <c r="A35" s="19" t="s">
        <v>144</v>
      </c>
      <c r="B35" s="20" t="s">
        <v>14</v>
      </c>
      <c r="C35" s="20" t="s">
        <v>145</v>
      </c>
      <c r="D35" s="20" t="s">
        <v>146</v>
      </c>
      <c r="E35" s="21" t="s">
        <v>5</v>
      </c>
      <c r="F35" s="22" t="s">
        <v>7</v>
      </c>
      <c r="G35" s="19" t="s">
        <v>147</v>
      </c>
      <c r="H35" s="20"/>
      <c r="I35" s="19" t="s">
        <v>46</v>
      </c>
    </row>
    <row r="36" customFormat="false" ht="15" hidden="false" customHeight="false" outlineLevel="0" collapsed="false">
      <c r="A36" s="19" t="s">
        <v>148</v>
      </c>
      <c r="B36" s="20" t="s">
        <v>14</v>
      </c>
      <c r="C36" s="20" t="s">
        <v>145</v>
      </c>
      <c r="D36" s="20" t="s">
        <v>149</v>
      </c>
      <c r="E36" s="21" t="s">
        <v>5</v>
      </c>
      <c r="F36" s="22" t="s">
        <v>7</v>
      </c>
      <c r="G36" s="19" t="s">
        <v>147</v>
      </c>
      <c r="H36" s="20"/>
      <c r="I36" s="19" t="s">
        <v>46</v>
      </c>
    </row>
    <row r="37" customFormat="false" ht="15" hidden="false" customHeight="false" outlineLevel="0" collapsed="false">
      <c r="A37" s="19" t="s">
        <v>150</v>
      </c>
      <c r="B37" s="20" t="s">
        <v>14</v>
      </c>
      <c r="C37" s="20" t="s">
        <v>151</v>
      </c>
      <c r="D37" s="20" t="s">
        <v>152</v>
      </c>
      <c r="E37" s="21" t="s">
        <v>5</v>
      </c>
      <c r="F37" s="22" t="s">
        <v>7</v>
      </c>
      <c r="G37" s="19" t="s">
        <v>147</v>
      </c>
      <c r="H37" s="20"/>
      <c r="I37" s="19" t="s">
        <v>46</v>
      </c>
    </row>
    <row r="38" customFormat="false" ht="15" hidden="false" customHeight="false" outlineLevel="0" collapsed="false">
      <c r="A38" s="19" t="s">
        <v>153</v>
      </c>
      <c r="B38" s="20" t="s">
        <v>14</v>
      </c>
      <c r="C38" s="20" t="s">
        <v>151</v>
      </c>
      <c r="D38" s="20" t="s">
        <v>154</v>
      </c>
      <c r="E38" s="21" t="s">
        <v>5</v>
      </c>
      <c r="F38" s="22" t="s">
        <v>7</v>
      </c>
      <c r="G38" s="19" t="s">
        <v>147</v>
      </c>
      <c r="H38" s="20"/>
      <c r="I38" s="19" t="s">
        <v>46</v>
      </c>
    </row>
    <row r="39" customFormat="false" ht="15" hidden="false" customHeight="false" outlineLevel="0" collapsed="false">
      <c r="A39" s="19" t="s">
        <v>155</v>
      </c>
      <c r="B39" s="20" t="s">
        <v>14</v>
      </c>
      <c r="C39" s="20" t="s">
        <v>151</v>
      </c>
      <c r="D39" s="20" t="s">
        <v>156</v>
      </c>
      <c r="E39" s="21" t="s">
        <v>5</v>
      </c>
      <c r="F39" s="22" t="s">
        <v>7</v>
      </c>
      <c r="G39" s="19" t="s">
        <v>157</v>
      </c>
      <c r="H39" s="20"/>
      <c r="I39" s="19" t="s">
        <v>46</v>
      </c>
    </row>
    <row r="40" customFormat="false" ht="23.85" hidden="false" customHeight="false" outlineLevel="0" collapsed="false">
      <c r="A40" s="19" t="s">
        <v>158</v>
      </c>
      <c r="B40" s="20" t="s">
        <v>14</v>
      </c>
      <c r="C40" s="20" t="s">
        <v>159</v>
      </c>
      <c r="D40" s="20" t="s">
        <v>160</v>
      </c>
      <c r="E40" s="21" t="s">
        <v>5</v>
      </c>
      <c r="F40" s="22" t="s">
        <v>7</v>
      </c>
      <c r="G40" s="19" t="s">
        <v>161</v>
      </c>
      <c r="H40" s="20"/>
      <c r="I40" s="19" t="s">
        <v>46</v>
      </c>
    </row>
    <row r="41" customFormat="false" ht="23.85" hidden="false" customHeight="false" outlineLevel="0" collapsed="false">
      <c r="A41" s="19" t="s">
        <v>162</v>
      </c>
      <c r="B41" s="20" t="s">
        <v>14</v>
      </c>
      <c r="C41" s="20" t="s">
        <v>159</v>
      </c>
      <c r="D41" s="20" t="s">
        <v>163</v>
      </c>
      <c r="E41" s="21" t="s">
        <v>5</v>
      </c>
      <c r="F41" s="22" t="s">
        <v>7</v>
      </c>
      <c r="G41" s="19" t="s">
        <v>161</v>
      </c>
      <c r="H41" s="20"/>
      <c r="I41" s="19" t="s">
        <v>46</v>
      </c>
    </row>
    <row r="42" customFormat="false" ht="23.85" hidden="false" customHeight="false" outlineLevel="0" collapsed="false">
      <c r="A42" s="19" t="s">
        <v>164</v>
      </c>
      <c r="B42" s="20" t="s">
        <v>14</v>
      </c>
      <c r="C42" s="20" t="s">
        <v>165</v>
      </c>
      <c r="D42" s="20" t="s">
        <v>166</v>
      </c>
      <c r="E42" s="21" t="s">
        <v>5</v>
      </c>
      <c r="F42" s="22" t="s">
        <v>7</v>
      </c>
      <c r="G42" s="19" t="s">
        <v>157</v>
      </c>
      <c r="H42" s="20" t="s">
        <v>167</v>
      </c>
      <c r="I42" s="19" t="s">
        <v>46</v>
      </c>
    </row>
    <row r="43" customFormat="false" ht="15" hidden="false" customHeight="false" outlineLevel="0" collapsed="false">
      <c r="A43" s="19" t="s">
        <v>168</v>
      </c>
      <c r="B43" s="20" t="s">
        <v>15</v>
      </c>
      <c r="C43" s="20" t="s">
        <v>169</v>
      </c>
      <c r="D43" s="20" t="s">
        <v>170</v>
      </c>
      <c r="E43" s="21" t="s">
        <v>5</v>
      </c>
      <c r="F43" s="22" t="s">
        <v>7</v>
      </c>
      <c r="G43" s="19" t="s">
        <v>171</v>
      </c>
      <c r="H43" s="20"/>
      <c r="I43" s="19" t="s">
        <v>46</v>
      </c>
    </row>
    <row r="44" customFormat="false" ht="15" hidden="false" customHeight="false" outlineLevel="0" collapsed="false">
      <c r="A44" s="19" t="s">
        <v>172</v>
      </c>
      <c r="B44" s="20" t="s">
        <v>15</v>
      </c>
      <c r="C44" s="20" t="s">
        <v>173</v>
      </c>
      <c r="D44" s="20" t="s">
        <v>174</v>
      </c>
      <c r="E44" s="21" t="s">
        <v>5</v>
      </c>
      <c r="F44" s="22" t="s">
        <v>7</v>
      </c>
      <c r="G44" s="19" t="s">
        <v>171</v>
      </c>
      <c r="H44" s="20"/>
      <c r="I44" s="19" t="s">
        <v>46</v>
      </c>
    </row>
    <row r="45" customFormat="false" ht="15" hidden="false" customHeight="false" outlineLevel="0" collapsed="false">
      <c r="A45" s="19" t="s">
        <v>175</v>
      </c>
      <c r="B45" s="20" t="s">
        <v>15</v>
      </c>
      <c r="C45" s="20" t="s">
        <v>173</v>
      </c>
      <c r="D45" s="20" t="s">
        <v>176</v>
      </c>
      <c r="E45" s="21" t="s">
        <v>5</v>
      </c>
      <c r="F45" s="22" t="s">
        <v>7</v>
      </c>
      <c r="G45" s="19" t="s">
        <v>171</v>
      </c>
      <c r="H45" s="20"/>
      <c r="I45" s="19" t="s">
        <v>46</v>
      </c>
    </row>
    <row r="46" customFormat="false" ht="23.85" hidden="false" customHeight="false" outlineLevel="0" collapsed="false">
      <c r="A46" s="19" t="s">
        <v>177</v>
      </c>
      <c r="B46" s="20" t="s">
        <v>15</v>
      </c>
      <c r="C46" s="20" t="s">
        <v>173</v>
      </c>
      <c r="D46" s="20" t="s">
        <v>178</v>
      </c>
      <c r="E46" s="21" t="s">
        <v>5</v>
      </c>
      <c r="F46" s="22" t="s">
        <v>7</v>
      </c>
      <c r="G46" s="19" t="s">
        <v>171</v>
      </c>
      <c r="H46" s="20"/>
      <c r="I46" s="19" t="s">
        <v>46</v>
      </c>
    </row>
    <row r="47" customFormat="false" ht="15" hidden="false" customHeight="false" outlineLevel="0" collapsed="false">
      <c r="A47" s="19" t="s">
        <v>179</v>
      </c>
      <c r="B47" s="20" t="s">
        <v>15</v>
      </c>
      <c r="C47" s="20" t="s">
        <v>173</v>
      </c>
      <c r="D47" s="20" t="s">
        <v>180</v>
      </c>
      <c r="E47" s="21" t="s">
        <v>5</v>
      </c>
      <c r="F47" s="22" t="s">
        <v>7</v>
      </c>
      <c r="G47" s="19" t="s">
        <v>171</v>
      </c>
      <c r="H47" s="20"/>
      <c r="I47" s="19" t="s">
        <v>46</v>
      </c>
    </row>
    <row r="48" customFormat="false" ht="15" hidden="false" customHeight="false" outlineLevel="0" collapsed="false">
      <c r="A48" s="19" t="s">
        <v>181</v>
      </c>
      <c r="B48" s="20" t="s">
        <v>15</v>
      </c>
      <c r="C48" s="20" t="s">
        <v>122</v>
      </c>
      <c r="D48" s="20" t="s">
        <v>182</v>
      </c>
      <c r="E48" s="21" t="s">
        <v>5</v>
      </c>
      <c r="F48" s="22" t="s">
        <v>7</v>
      </c>
      <c r="G48" s="19" t="s">
        <v>183</v>
      </c>
      <c r="H48" s="20"/>
      <c r="I48" s="19" t="s">
        <v>46</v>
      </c>
    </row>
    <row r="49" customFormat="false" ht="15" hidden="false" customHeight="false" outlineLevel="0" collapsed="false">
      <c r="A49" s="19" t="s">
        <v>184</v>
      </c>
      <c r="B49" s="20" t="s">
        <v>15</v>
      </c>
      <c r="C49" s="20" t="s">
        <v>122</v>
      </c>
      <c r="D49" s="20" t="s">
        <v>185</v>
      </c>
      <c r="E49" s="21" t="s">
        <v>5</v>
      </c>
      <c r="F49" s="22" t="s">
        <v>7</v>
      </c>
      <c r="G49" s="19" t="s">
        <v>183</v>
      </c>
      <c r="H49" s="20"/>
      <c r="I49" s="19" t="s">
        <v>46</v>
      </c>
    </row>
    <row r="50" customFormat="false" ht="15" hidden="false" customHeight="false" outlineLevel="0" collapsed="false">
      <c r="A50" s="19" t="s">
        <v>186</v>
      </c>
      <c r="B50" s="20" t="s">
        <v>15</v>
      </c>
      <c r="C50" s="20" t="s">
        <v>122</v>
      </c>
      <c r="D50" s="20" t="s">
        <v>187</v>
      </c>
      <c r="E50" s="21" t="s">
        <v>5</v>
      </c>
      <c r="F50" s="22" t="s">
        <v>7</v>
      </c>
      <c r="G50" s="19" t="s">
        <v>124</v>
      </c>
      <c r="H50" s="20" t="s">
        <v>188</v>
      </c>
      <c r="I50" s="19" t="s">
        <v>46</v>
      </c>
    </row>
    <row r="51" customFormat="false" ht="15" hidden="false" customHeight="false" outlineLevel="0" collapsed="false">
      <c r="A51" s="19" t="s">
        <v>189</v>
      </c>
      <c r="B51" s="20" t="s">
        <v>16</v>
      </c>
      <c r="C51" s="20" t="s">
        <v>190</v>
      </c>
      <c r="D51" s="20" t="s">
        <v>191</v>
      </c>
      <c r="E51" s="21" t="s">
        <v>5</v>
      </c>
      <c r="F51" s="22" t="s">
        <v>7</v>
      </c>
      <c r="G51" s="19" t="s">
        <v>192</v>
      </c>
      <c r="H51" s="20"/>
      <c r="I51" s="19" t="s">
        <v>46</v>
      </c>
    </row>
    <row r="52" customFormat="false" ht="15" hidden="false" customHeight="false" outlineLevel="0" collapsed="false">
      <c r="A52" s="19" t="s">
        <v>193</v>
      </c>
      <c r="B52" s="20" t="s">
        <v>16</v>
      </c>
      <c r="C52" s="20" t="s">
        <v>190</v>
      </c>
      <c r="D52" s="20" t="s">
        <v>194</v>
      </c>
      <c r="E52" s="21" t="s">
        <v>5</v>
      </c>
      <c r="F52" s="22" t="s">
        <v>7</v>
      </c>
      <c r="G52" s="19" t="s">
        <v>192</v>
      </c>
      <c r="H52" s="20"/>
      <c r="I52" s="19" t="s">
        <v>46</v>
      </c>
    </row>
    <row r="53" customFormat="false" ht="15" hidden="false" customHeight="false" outlineLevel="0" collapsed="false">
      <c r="A53" s="19" t="s">
        <v>195</v>
      </c>
      <c r="B53" s="20" t="s">
        <v>16</v>
      </c>
      <c r="C53" s="20" t="s">
        <v>196</v>
      </c>
      <c r="D53" s="20" t="s">
        <v>197</v>
      </c>
      <c r="E53" s="21" t="s">
        <v>5</v>
      </c>
      <c r="F53" s="22" t="s">
        <v>7</v>
      </c>
      <c r="G53" s="19" t="s">
        <v>198</v>
      </c>
      <c r="H53" s="20"/>
      <c r="I53" s="19" t="s">
        <v>46</v>
      </c>
    </row>
    <row r="54" customFormat="false" ht="15" hidden="false" customHeight="false" outlineLevel="0" collapsed="false">
      <c r="A54" s="19" t="s">
        <v>199</v>
      </c>
      <c r="B54" s="20" t="s">
        <v>16</v>
      </c>
      <c r="C54" s="20" t="s">
        <v>196</v>
      </c>
      <c r="D54" s="20" t="s">
        <v>200</v>
      </c>
      <c r="E54" s="21" t="s">
        <v>5</v>
      </c>
      <c r="F54" s="22" t="s">
        <v>7</v>
      </c>
      <c r="G54" s="19" t="s">
        <v>198</v>
      </c>
      <c r="H54" s="20"/>
      <c r="I54" s="19" t="s">
        <v>46</v>
      </c>
    </row>
    <row r="55" customFormat="false" ht="15" hidden="false" customHeight="false" outlineLevel="0" collapsed="false">
      <c r="A55" s="19" t="s">
        <v>201</v>
      </c>
      <c r="B55" s="20" t="s">
        <v>16</v>
      </c>
      <c r="C55" s="20" t="s">
        <v>196</v>
      </c>
      <c r="D55" s="20" t="s">
        <v>202</v>
      </c>
      <c r="E55" s="21" t="s">
        <v>5</v>
      </c>
      <c r="F55" s="22" t="s">
        <v>7</v>
      </c>
      <c r="G55" s="19" t="s">
        <v>198</v>
      </c>
      <c r="H55" s="20"/>
      <c r="I55" s="19" t="s">
        <v>46</v>
      </c>
    </row>
    <row r="56" customFormat="false" ht="15" hidden="false" customHeight="false" outlineLevel="0" collapsed="false">
      <c r="A56" s="19" t="s">
        <v>203</v>
      </c>
      <c r="B56" s="20" t="s">
        <v>16</v>
      </c>
      <c r="C56" s="20" t="s">
        <v>204</v>
      </c>
      <c r="D56" s="20" t="s">
        <v>205</v>
      </c>
      <c r="E56" s="23" t="s">
        <v>6</v>
      </c>
      <c r="F56" s="22" t="s">
        <v>7</v>
      </c>
      <c r="G56" s="19" t="s">
        <v>98</v>
      </c>
      <c r="H56" s="20" t="s">
        <v>206</v>
      </c>
      <c r="I56" s="19" t="s">
        <v>46</v>
      </c>
    </row>
    <row r="57" customFormat="false" ht="15" hidden="false" customHeight="false" outlineLevel="0" collapsed="false">
      <c r="A57" s="19" t="s">
        <v>207</v>
      </c>
      <c r="B57" s="20" t="s">
        <v>16</v>
      </c>
      <c r="C57" s="20" t="s">
        <v>208</v>
      </c>
      <c r="D57" s="20" t="s">
        <v>209</v>
      </c>
      <c r="E57" s="21" t="s">
        <v>5</v>
      </c>
      <c r="F57" s="22" t="s">
        <v>7</v>
      </c>
      <c r="G57" s="19" t="s">
        <v>210</v>
      </c>
      <c r="H57" s="20"/>
      <c r="I57" s="19" t="s">
        <v>46</v>
      </c>
    </row>
    <row r="58" customFormat="false" ht="23.85" hidden="false" customHeight="false" outlineLevel="0" collapsed="false">
      <c r="A58" s="19" t="s">
        <v>211</v>
      </c>
      <c r="B58" s="20" t="s">
        <v>16</v>
      </c>
      <c r="C58" s="20" t="s">
        <v>208</v>
      </c>
      <c r="D58" s="20" t="s">
        <v>212</v>
      </c>
      <c r="E58" s="21" t="s">
        <v>5</v>
      </c>
      <c r="F58" s="22" t="s">
        <v>7</v>
      </c>
      <c r="G58" s="19" t="s">
        <v>210</v>
      </c>
      <c r="H58" s="20"/>
      <c r="I58" s="19" t="s">
        <v>46</v>
      </c>
    </row>
    <row r="59" customFormat="false" ht="15" hidden="false" customHeight="false" outlineLevel="0" collapsed="false">
      <c r="A59" s="19" t="s">
        <v>213</v>
      </c>
      <c r="B59" s="20" t="s">
        <v>16</v>
      </c>
      <c r="C59" s="20" t="s">
        <v>214</v>
      </c>
      <c r="D59" s="20" t="s">
        <v>215</v>
      </c>
      <c r="E59" s="23" t="s">
        <v>6</v>
      </c>
      <c r="F59" s="22" t="s">
        <v>7</v>
      </c>
      <c r="G59" s="19" t="s">
        <v>192</v>
      </c>
      <c r="H59" s="20" t="s">
        <v>216</v>
      </c>
      <c r="I59" s="19" t="s">
        <v>46</v>
      </c>
    </row>
    <row r="60" customFormat="false" ht="15" hidden="false" customHeight="false" outlineLevel="0" collapsed="false">
      <c r="A60" s="19" t="s">
        <v>217</v>
      </c>
      <c r="B60" s="20" t="s">
        <v>17</v>
      </c>
      <c r="C60" s="20" t="s">
        <v>218</v>
      </c>
      <c r="D60" s="20" t="s">
        <v>219</v>
      </c>
      <c r="E60" s="23" t="s">
        <v>6</v>
      </c>
      <c r="F60" s="24" t="s">
        <v>8</v>
      </c>
      <c r="G60" s="19" t="s">
        <v>220</v>
      </c>
      <c r="H60" s="20" t="s">
        <v>221</v>
      </c>
      <c r="I60" s="19" t="s">
        <v>46</v>
      </c>
    </row>
    <row r="61" customFormat="false" ht="15" hidden="false" customHeight="false" outlineLevel="0" collapsed="false">
      <c r="A61" s="19" t="s">
        <v>222</v>
      </c>
      <c r="B61" s="20" t="s">
        <v>18</v>
      </c>
      <c r="C61" s="20" t="s">
        <v>223</v>
      </c>
      <c r="D61" s="20" t="s">
        <v>224</v>
      </c>
      <c r="E61" s="23" t="s">
        <v>6</v>
      </c>
      <c r="F61" s="22" t="s">
        <v>7</v>
      </c>
      <c r="G61" s="19" t="s">
        <v>225</v>
      </c>
      <c r="H61" s="20" t="s">
        <v>226</v>
      </c>
      <c r="I61" s="19" t="s">
        <v>46</v>
      </c>
    </row>
    <row r="62" customFormat="false" ht="15" hidden="false" customHeight="false" outlineLevel="0" collapsed="false">
      <c r="A62" s="19" t="s">
        <v>227</v>
      </c>
      <c r="B62" s="20" t="s">
        <v>18</v>
      </c>
      <c r="C62" s="20" t="s">
        <v>228</v>
      </c>
      <c r="D62" s="20" t="s">
        <v>229</v>
      </c>
      <c r="E62" s="21" t="s">
        <v>5</v>
      </c>
      <c r="F62" s="22" t="s">
        <v>7</v>
      </c>
      <c r="G62" s="19" t="s">
        <v>230</v>
      </c>
      <c r="H62" s="20"/>
      <c r="I62" s="19" t="s">
        <v>46</v>
      </c>
    </row>
    <row r="63" customFormat="false" ht="15" hidden="false" customHeight="false" outlineLevel="0" collapsed="false">
      <c r="A63" s="19" t="s">
        <v>231</v>
      </c>
      <c r="B63" s="20" t="s">
        <v>18</v>
      </c>
      <c r="C63" s="20" t="s">
        <v>228</v>
      </c>
      <c r="D63" s="20" t="s">
        <v>232</v>
      </c>
      <c r="E63" s="21" t="s">
        <v>5</v>
      </c>
      <c r="F63" s="22" t="s">
        <v>7</v>
      </c>
      <c r="G63" s="19" t="s">
        <v>230</v>
      </c>
      <c r="H63" s="20"/>
      <c r="I63" s="19" t="s">
        <v>46</v>
      </c>
    </row>
    <row r="64" customFormat="false" ht="15" hidden="false" customHeight="false" outlineLevel="0" collapsed="false">
      <c r="A64" s="19" t="s">
        <v>233</v>
      </c>
      <c r="B64" s="20" t="s">
        <v>18</v>
      </c>
      <c r="C64" s="20" t="s">
        <v>228</v>
      </c>
      <c r="D64" s="20" t="s">
        <v>234</v>
      </c>
      <c r="E64" s="21" t="s">
        <v>5</v>
      </c>
      <c r="F64" s="22" t="s">
        <v>7</v>
      </c>
      <c r="G64" s="19" t="s">
        <v>111</v>
      </c>
      <c r="H64" s="20"/>
      <c r="I64" s="19" t="s">
        <v>46</v>
      </c>
    </row>
    <row r="65" customFormat="false" ht="15" hidden="false" customHeight="false" outlineLevel="0" collapsed="false">
      <c r="A65" s="19" t="s">
        <v>235</v>
      </c>
      <c r="B65" s="20" t="s">
        <v>18</v>
      </c>
      <c r="C65" s="20" t="s">
        <v>236</v>
      </c>
      <c r="D65" s="20" t="s">
        <v>237</v>
      </c>
      <c r="E65" s="21" t="s">
        <v>5</v>
      </c>
      <c r="F65" s="22" t="s">
        <v>7</v>
      </c>
      <c r="G65" s="19" t="s">
        <v>238</v>
      </c>
      <c r="H65" s="20"/>
      <c r="I65" s="19" t="s">
        <v>46</v>
      </c>
    </row>
    <row r="66" customFormat="false" ht="15" hidden="false" customHeight="false" outlineLevel="0" collapsed="false">
      <c r="A66" s="19" t="s">
        <v>239</v>
      </c>
      <c r="B66" s="20" t="s">
        <v>18</v>
      </c>
      <c r="C66" s="20" t="s">
        <v>214</v>
      </c>
      <c r="D66" s="20" t="s">
        <v>240</v>
      </c>
      <c r="E66" s="21" t="s">
        <v>5</v>
      </c>
      <c r="F66" s="22" t="s">
        <v>7</v>
      </c>
      <c r="G66" s="19" t="s">
        <v>238</v>
      </c>
      <c r="H66" s="20"/>
      <c r="I66" s="19" t="s">
        <v>46</v>
      </c>
    </row>
  </sheetData>
  <autoFilter ref="A1:I66"/>
  <dataValidations count="3">
    <dataValidation allowBlank="false" errorStyle="stop" operator="between" showDropDown="false" showErrorMessage="false" showInputMessage="false" sqref="E2:E300" type="list">
      <formula1>"Giữ nguyên,Rút gọn"</formula1>
      <formula2>0</formula2>
    </dataValidation>
    <dataValidation allowBlank="false" errorStyle="stop" operator="between" showDropDown="false" showErrorMessage="false" showInputMessage="false" sqref="F2:F300" type="list">
      <formula1>"Đợt 1,Đợt 2"</formula1>
      <formula2>0</formula2>
    </dataValidation>
    <dataValidation allowBlank="false" errorStyle="stop" operator="between" showDropDown="false" showErrorMessage="false" showInputMessage="false" sqref="I2:I300" type="list">
      <formula1>"Chưa làm,Đang làm,Hoàn thành,Hoãn"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66"/>
    <col collapsed="false" customWidth="true" hidden="false" outlineLevel="0" max="4" min="4" style="0" width="30"/>
    <col collapsed="false" customWidth="true" hidden="false" outlineLevel="0" max="5" min="5" style="0" width="76"/>
  </cols>
  <sheetData>
    <row r="1" customFormat="false" ht="15" hidden="false" customHeight="false" outlineLevel="0" collapsed="false">
      <c r="A1" s="18" t="s">
        <v>34</v>
      </c>
      <c r="B1" s="18" t="s">
        <v>241</v>
      </c>
      <c r="C1" s="18" t="s">
        <v>242</v>
      </c>
      <c r="D1" s="18" t="s">
        <v>243</v>
      </c>
      <c r="E1" s="18" t="s">
        <v>244</v>
      </c>
    </row>
    <row r="2" customFormat="false" ht="23.85" hidden="false" customHeight="false" outlineLevel="0" collapsed="false">
      <c r="A2" s="19" t="s">
        <v>245</v>
      </c>
      <c r="B2" s="20" t="s">
        <v>246</v>
      </c>
      <c r="C2" s="20" t="s">
        <v>247</v>
      </c>
      <c r="D2" s="25" t="s">
        <v>21</v>
      </c>
      <c r="E2" s="20" t="s">
        <v>248</v>
      </c>
    </row>
    <row r="3" customFormat="false" ht="23.85" hidden="false" customHeight="false" outlineLevel="0" collapsed="false">
      <c r="A3" s="19" t="s">
        <v>249</v>
      </c>
      <c r="B3" s="20" t="s">
        <v>246</v>
      </c>
      <c r="C3" s="20" t="s">
        <v>250</v>
      </c>
      <c r="D3" s="25" t="s">
        <v>21</v>
      </c>
      <c r="E3" s="20" t="s">
        <v>251</v>
      </c>
    </row>
    <row r="4" customFormat="false" ht="23.85" hidden="false" customHeight="false" outlineLevel="0" collapsed="false">
      <c r="A4" s="19" t="s">
        <v>252</v>
      </c>
      <c r="B4" s="20" t="s">
        <v>246</v>
      </c>
      <c r="C4" s="20" t="s">
        <v>253</v>
      </c>
      <c r="D4" s="25" t="s">
        <v>21</v>
      </c>
      <c r="E4" s="20" t="s">
        <v>254</v>
      </c>
    </row>
    <row r="5" customFormat="false" ht="23.85" hidden="false" customHeight="false" outlineLevel="0" collapsed="false">
      <c r="A5" s="19" t="s">
        <v>255</v>
      </c>
      <c r="B5" s="20" t="s">
        <v>246</v>
      </c>
      <c r="C5" s="20" t="s">
        <v>256</v>
      </c>
      <c r="D5" s="25" t="s">
        <v>21</v>
      </c>
      <c r="E5" s="20" t="s">
        <v>257</v>
      </c>
    </row>
    <row r="6" customFormat="false" ht="23.85" hidden="false" customHeight="false" outlineLevel="0" collapsed="false">
      <c r="A6" s="19" t="s">
        <v>258</v>
      </c>
      <c r="B6" s="20" t="s">
        <v>246</v>
      </c>
      <c r="C6" s="20" t="s">
        <v>259</v>
      </c>
      <c r="D6" s="26" t="s">
        <v>22</v>
      </c>
      <c r="E6" s="20" t="s">
        <v>260</v>
      </c>
    </row>
    <row r="7" customFormat="false" ht="23.85" hidden="false" customHeight="false" outlineLevel="0" collapsed="false">
      <c r="A7" s="19" t="s">
        <v>261</v>
      </c>
      <c r="B7" s="20" t="s">
        <v>246</v>
      </c>
      <c r="C7" s="20" t="s">
        <v>262</v>
      </c>
      <c r="D7" s="26" t="s">
        <v>22</v>
      </c>
      <c r="E7" s="20" t="s">
        <v>263</v>
      </c>
    </row>
    <row r="8" customFormat="false" ht="15" hidden="false" customHeight="false" outlineLevel="0" collapsed="false">
      <c r="A8" s="19" t="s">
        <v>264</v>
      </c>
      <c r="B8" s="20" t="s">
        <v>11</v>
      </c>
      <c r="C8" s="20" t="s">
        <v>265</v>
      </c>
      <c r="D8" s="26" t="s">
        <v>22</v>
      </c>
      <c r="E8" s="20" t="s">
        <v>266</v>
      </c>
    </row>
    <row r="9" customFormat="false" ht="15" hidden="false" customHeight="false" outlineLevel="0" collapsed="false">
      <c r="A9" s="19" t="s">
        <v>267</v>
      </c>
      <c r="B9" s="20" t="s">
        <v>11</v>
      </c>
      <c r="C9" s="20" t="s">
        <v>268</v>
      </c>
      <c r="D9" s="27" t="s">
        <v>23</v>
      </c>
      <c r="E9" s="20" t="s">
        <v>269</v>
      </c>
    </row>
    <row r="10" customFormat="false" ht="23.85" hidden="false" customHeight="false" outlineLevel="0" collapsed="false">
      <c r="A10" s="19" t="s">
        <v>270</v>
      </c>
      <c r="B10" s="20" t="s">
        <v>271</v>
      </c>
      <c r="C10" s="20" t="s">
        <v>272</v>
      </c>
      <c r="D10" s="27" t="s">
        <v>23</v>
      </c>
      <c r="E10" s="20" t="s">
        <v>273</v>
      </c>
    </row>
    <row r="11" customFormat="false" ht="23.85" hidden="false" customHeight="false" outlineLevel="0" collapsed="false">
      <c r="A11" s="19" t="s">
        <v>274</v>
      </c>
      <c r="B11" s="20" t="s">
        <v>271</v>
      </c>
      <c r="C11" s="20" t="s">
        <v>275</v>
      </c>
      <c r="D11" s="25" t="s">
        <v>21</v>
      </c>
      <c r="E11" s="20" t="s">
        <v>276</v>
      </c>
    </row>
    <row r="12" customFormat="false" ht="23.85" hidden="false" customHeight="false" outlineLevel="0" collapsed="false">
      <c r="A12" s="19" t="s">
        <v>277</v>
      </c>
      <c r="B12" s="20" t="s">
        <v>271</v>
      </c>
      <c r="C12" s="20" t="s">
        <v>278</v>
      </c>
      <c r="D12" s="27" t="s">
        <v>23</v>
      </c>
      <c r="E12" s="20" t="s">
        <v>279</v>
      </c>
    </row>
    <row r="13" customFormat="false" ht="15" hidden="false" customHeight="false" outlineLevel="0" collapsed="false">
      <c r="A13" s="19" t="s">
        <v>280</v>
      </c>
      <c r="B13" s="20" t="s">
        <v>13</v>
      </c>
      <c r="C13" s="20" t="s">
        <v>281</v>
      </c>
      <c r="D13" s="25" t="s">
        <v>21</v>
      </c>
      <c r="E13" s="20" t="s">
        <v>282</v>
      </c>
    </row>
    <row r="14" customFormat="false" ht="15" hidden="false" customHeight="false" outlineLevel="0" collapsed="false">
      <c r="A14" s="19" t="s">
        <v>283</v>
      </c>
      <c r="B14" s="20" t="s">
        <v>13</v>
      </c>
      <c r="C14" s="20" t="s">
        <v>284</v>
      </c>
      <c r="D14" s="25" t="s">
        <v>21</v>
      </c>
      <c r="E14" s="20" t="s">
        <v>285</v>
      </c>
    </row>
    <row r="15" customFormat="false" ht="15" hidden="false" customHeight="false" outlineLevel="0" collapsed="false">
      <c r="A15" s="19" t="s">
        <v>286</v>
      </c>
      <c r="B15" s="20" t="s">
        <v>13</v>
      </c>
      <c r="C15" s="20" t="s">
        <v>287</v>
      </c>
      <c r="D15" s="25" t="s">
        <v>21</v>
      </c>
      <c r="E15" s="20" t="s">
        <v>288</v>
      </c>
    </row>
    <row r="16" customFormat="false" ht="15" hidden="false" customHeight="false" outlineLevel="0" collapsed="false">
      <c r="A16" s="19" t="s">
        <v>289</v>
      </c>
      <c r="B16" s="20" t="s">
        <v>290</v>
      </c>
      <c r="C16" s="20" t="s">
        <v>291</v>
      </c>
      <c r="D16" s="26" t="s">
        <v>22</v>
      </c>
      <c r="E16" s="20" t="s">
        <v>292</v>
      </c>
    </row>
    <row r="17" customFormat="false" ht="15" hidden="false" customHeight="false" outlineLevel="0" collapsed="false">
      <c r="A17" s="19" t="s">
        <v>293</v>
      </c>
      <c r="B17" s="20" t="s">
        <v>290</v>
      </c>
      <c r="C17" s="20" t="s">
        <v>294</v>
      </c>
      <c r="D17" s="26" t="s">
        <v>22</v>
      </c>
      <c r="E17" s="20" t="s">
        <v>295</v>
      </c>
    </row>
    <row r="18" customFormat="false" ht="23.85" hidden="false" customHeight="false" outlineLevel="0" collapsed="false">
      <c r="A18" s="19" t="s">
        <v>296</v>
      </c>
      <c r="B18" s="20" t="s">
        <v>290</v>
      </c>
      <c r="C18" s="20" t="s">
        <v>297</v>
      </c>
      <c r="D18" s="25" t="s">
        <v>21</v>
      </c>
      <c r="E18" s="20" t="s">
        <v>298</v>
      </c>
    </row>
    <row r="19" customFormat="false" ht="23.85" hidden="false" customHeight="false" outlineLevel="0" collapsed="false">
      <c r="A19" s="19" t="s">
        <v>299</v>
      </c>
      <c r="B19" s="20" t="s">
        <v>290</v>
      </c>
      <c r="C19" s="20" t="s">
        <v>300</v>
      </c>
      <c r="D19" s="27" t="s">
        <v>23</v>
      </c>
      <c r="E19" s="20" t="s">
        <v>301</v>
      </c>
    </row>
    <row r="20" customFormat="false" ht="15" hidden="false" customHeight="false" outlineLevel="0" collapsed="false">
      <c r="A20" s="19" t="s">
        <v>302</v>
      </c>
      <c r="B20" s="20" t="s">
        <v>303</v>
      </c>
      <c r="C20" s="20" t="s">
        <v>304</v>
      </c>
      <c r="D20" s="26" t="s">
        <v>22</v>
      </c>
      <c r="E20" s="20" t="s">
        <v>305</v>
      </c>
    </row>
    <row r="21" customFormat="false" ht="23.85" hidden="false" customHeight="false" outlineLevel="0" collapsed="false">
      <c r="A21" s="19" t="s">
        <v>306</v>
      </c>
      <c r="B21" s="20" t="s">
        <v>307</v>
      </c>
      <c r="C21" s="20" t="s">
        <v>308</v>
      </c>
      <c r="D21" s="28" t="s">
        <v>24</v>
      </c>
      <c r="E21" s="20" t="s">
        <v>309</v>
      </c>
    </row>
    <row r="22" customFormat="false" ht="23.85" hidden="false" customHeight="false" outlineLevel="0" collapsed="false">
      <c r="A22" s="19" t="s">
        <v>310</v>
      </c>
      <c r="B22" s="20" t="s">
        <v>307</v>
      </c>
      <c r="C22" s="20" t="s">
        <v>311</v>
      </c>
      <c r="D22" s="28" t="s">
        <v>24</v>
      </c>
      <c r="E22" s="20" t="s">
        <v>312</v>
      </c>
    </row>
    <row r="23" customFormat="false" ht="23.85" hidden="false" customHeight="false" outlineLevel="0" collapsed="false">
      <c r="A23" s="19" t="s">
        <v>313</v>
      </c>
      <c r="B23" s="20" t="s">
        <v>307</v>
      </c>
      <c r="C23" s="20" t="s">
        <v>314</v>
      </c>
      <c r="D23" s="28" t="s">
        <v>24</v>
      </c>
      <c r="E23" s="20" t="s">
        <v>315</v>
      </c>
    </row>
    <row r="24" customFormat="false" ht="23.85" hidden="false" customHeight="false" outlineLevel="0" collapsed="false">
      <c r="A24" s="19" t="s">
        <v>316</v>
      </c>
      <c r="B24" s="20" t="s">
        <v>307</v>
      </c>
      <c r="C24" s="20" t="s">
        <v>317</v>
      </c>
      <c r="D24" s="28" t="s">
        <v>24</v>
      </c>
      <c r="E24" s="20" t="s">
        <v>318</v>
      </c>
    </row>
    <row r="25" customFormat="false" ht="23.85" hidden="false" customHeight="false" outlineLevel="0" collapsed="false">
      <c r="A25" s="19" t="s">
        <v>319</v>
      </c>
      <c r="B25" s="20" t="s">
        <v>307</v>
      </c>
      <c r="C25" s="20" t="s">
        <v>320</v>
      </c>
      <c r="D25" s="28" t="s">
        <v>24</v>
      </c>
      <c r="E25" s="20" t="s">
        <v>321</v>
      </c>
    </row>
    <row r="26" customFormat="false" ht="23.85" hidden="false" customHeight="false" outlineLevel="0" collapsed="false">
      <c r="A26" s="19" t="s">
        <v>322</v>
      </c>
      <c r="B26" s="20" t="s">
        <v>307</v>
      </c>
      <c r="C26" s="20" t="s">
        <v>323</v>
      </c>
      <c r="D26" s="28" t="s">
        <v>24</v>
      </c>
      <c r="E26" s="20" t="s">
        <v>324</v>
      </c>
    </row>
    <row r="27" customFormat="false" ht="23.85" hidden="false" customHeight="false" outlineLevel="0" collapsed="false">
      <c r="A27" s="19" t="s">
        <v>325</v>
      </c>
      <c r="B27" s="20" t="s">
        <v>307</v>
      </c>
      <c r="C27" s="20" t="s">
        <v>326</v>
      </c>
      <c r="D27" s="28" t="s">
        <v>24</v>
      </c>
      <c r="E27" s="20" t="s">
        <v>327</v>
      </c>
    </row>
    <row r="28" customFormat="false" ht="23.85" hidden="false" customHeight="false" outlineLevel="0" collapsed="false">
      <c r="A28" s="19" t="s">
        <v>328</v>
      </c>
      <c r="B28" s="20" t="s">
        <v>307</v>
      </c>
      <c r="C28" s="20" t="s">
        <v>329</v>
      </c>
      <c r="D28" s="28" t="s">
        <v>24</v>
      </c>
      <c r="E28" s="20" t="s">
        <v>330</v>
      </c>
    </row>
    <row r="29" customFormat="false" ht="23.85" hidden="false" customHeight="false" outlineLevel="0" collapsed="false">
      <c r="A29" s="19" t="s">
        <v>331</v>
      </c>
      <c r="B29" s="20" t="s">
        <v>307</v>
      </c>
      <c r="C29" s="20" t="s">
        <v>332</v>
      </c>
      <c r="D29" s="28" t="s">
        <v>24</v>
      </c>
      <c r="E29" s="20" t="s">
        <v>333</v>
      </c>
    </row>
    <row r="30" customFormat="false" ht="23.85" hidden="false" customHeight="false" outlineLevel="0" collapsed="false">
      <c r="A30" s="19" t="s">
        <v>334</v>
      </c>
      <c r="B30" s="20" t="s">
        <v>307</v>
      </c>
      <c r="C30" s="20" t="s">
        <v>335</v>
      </c>
      <c r="D30" s="28" t="s">
        <v>24</v>
      </c>
      <c r="E30" s="20" t="s">
        <v>336</v>
      </c>
    </row>
    <row r="31" customFormat="false" ht="15" hidden="false" customHeight="false" outlineLevel="0" collapsed="false">
      <c r="A31" s="19" t="s">
        <v>337</v>
      </c>
      <c r="B31" s="20" t="s">
        <v>338</v>
      </c>
      <c r="C31" s="20" t="s">
        <v>339</v>
      </c>
      <c r="D31" s="26" t="s">
        <v>22</v>
      </c>
      <c r="E31" s="20" t="s">
        <v>340</v>
      </c>
    </row>
    <row r="32" customFormat="false" ht="23.85" hidden="false" customHeight="false" outlineLevel="0" collapsed="false">
      <c r="A32" s="19" t="s">
        <v>341</v>
      </c>
      <c r="B32" s="20" t="s">
        <v>338</v>
      </c>
      <c r="C32" s="20" t="s">
        <v>342</v>
      </c>
      <c r="D32" s="25" t="s">
        <v>21</v>
      </c>
      <c r="E32" s="20" t="s">
        <v>343</v>
      </c>
    </row>
    <row r="33" customFormat="false" ht="15" hidden="false" customHeight="false" outlineLevel="0" collapsed="false">
      <c r="A33" s="19" t="s">
        <v>344</v>
      </c>
      <c r="B33" s="20" t="s">
        <v>338</v>
      </c>
      <c r="C33" s="20" t="s">
        <v>345</v>
      </c>
      <c r="D33" s="26" t="s">
        <v>22</v>
      </c>
      <c r="E33" s="20" t="s">
        <v>346</v>
      </c>
    </row>
    <row r="34" customFormat="false" ht="15" hidden="false" customHeight="false" outlineLevel="0" collapsed="false">
      <c r="A34" s="19" t="s">
        <v>347</v>
      </c>
      <c r="B34" s="20" t="s">
        <v>338</v>
      </c>
      <c r="C34" s="20" t="s">
        <v>348</v>
      </c>
      <c r="D34" s="27" t="s">
        <v>23</v>
      </c>
      <c r="E34" s="20" t="s">
        <v>349</v>
      </c>
    </row>
    <row r="35" customFormat="false" ht="15" hidden="false" customHeight="false" outlineLevel="0" collapsed="false">
      <c r="A35" s="19" t="s">
        <v>350</v>
      </c>
      <c r="B35" s="20" t="s">
        <v>351</v>
      </c>
      <c r="C35" s="20" t="s">
        <v>352</v>
      </c>
      <c r="D35" s="25" t="s">
        <v>21</v>
      </c>
      <c r="E35" s="20" t="s">
        <v>353</v>
      </c>
    </row>
    <row r="36" customFormat="false" ht="15" hidden="false" customHeight="false" outlineLevel="0" collapsed="false">
      <c r="A36" s="19" t="s">
        <v>354</v>
      </c>
      <c r="B36" s="20" t="s">
        <v>351</v>
      </c>
      <c r="C36" s="20" t="s">
        <v>355</v>
      </c>
      <c r="D36" s="26" t="s">
        <v>22</v>
      </c>
      <c r="E36" s="20" t="s">
        <v>356</v>
      </c>
    </row>
    <row r="37" customFormat="false" ht="15" hidden="false" customHeight="false" outlineLevel="0" collapsed="false">
      <c r="A37" s="19" t="s">
        <v>357</v>
      </c>
      <c r="B37" s="20" t="s">
        <v>351</v>
      </c>
      <c r="C37" s="20" t="s">
        <v>358</v>
      </c>
      <c r="D37" s="25" t="s">
        <v>21</v>
      </c>
      <c r="E37" s="20" t="s">
        <v>359</v>
      </c>
    </row>
    <row r="38" customFormat="false" ht="15" hidden="false" customHeight="false" outlineLevel="0" collapsed="false">
      <c r="A38" s="19" t="s">
        <v>360</v>
      </c>
      <c r="B38" s="20" t="s">
        <v>361</v>
      </c>
      <c r="C38" s="20" t="s">
        <v>362</v>
      </c>
      <c r="D38" s="25" t="s">
        <v>21</v>
      </c>
      <c r="E38" s="20" t="s">
        <v>363</v>
      </c>
    </row>
    <row r="39" customFormat="false" ht="15" hidden="false" customHeight="false" outlineLevel="0" collapsed="false">
      <c r="A39" s="19" t="s">
        <v>364</v>
      </c>
      <c r="B39" s="20" t="s">
        <v>361</v>
      </c>
      <c r="C39" s="20" t="s">
        <v>365</v>
      </c>
      <c r="D39" s="26" t="s">
        <v>22</v>
      </c>
      <c r="E39" s="20" t="s">
        <v>366</v>
      </c>
    </row>
    <row r="40" customFormat="false" ht="15" hidden="false" customHeight="false" outlineLevel="0" collapsed="false">
      <c r="A40" s="19" t="s">
        <v>367</v>
      </c>
      <c r="B40" s="20" t="s">
        <v>361</v>
      </c>
      <c r="C40" s="20" t="s">
        <v>368</v>
      </c>
      <c r="D40" s="25" t="s">
        <v>21</v>
      </c>
      <c r="E40" s="20" t="s">
        <v>349</v>
      </c>
    </row>
    <row r="41" customFormat="false" ht="15" hidden="false" customHeight="false" outlineLevel="0" collapsed="false">
      <c r="A41" s="19" t="s">
        <v>213</v>
      </c>
      <c r="B41" s="20" t="s">
        <v>361</v>
      </c>
      <c r="C41" s="20" t="s">
        <v>369</v>
      </c>
      <c r="D41" s="25" t="s">
        <v>21</v>
      </c>
      <c r="E41" s="20" t="s">
        <v>370</v>
      </c>
    </row>
    <row r="42" customFormat="false" ht="15" hidden="false" customHeight="false" outlineLevel="0" collapsed="false">
      <c r="A42" s="19" t="s">
        <v>371</v>
      </c>
      <c r="B42" s="20" t="s">
        <v>361</v>
      </c>
      <c r="C42" s="20" t="s">
        <v>372</v>
      </c>
      <c r="D42" s="25" t="s">
        <v>21</v>
      </c>
      <c r="E42" s="20" t="s">
        <v>373</v>
      </c>
    </row>
  </sheetData>
  <autoFilter ref="A1:E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2"/>
    <col collapsed="false" customWidth="true" hidden="false" outlineLevel="0" max="3" min="3" style="0" width="90"/>
  </cols>
  <sheetData>
    <row r="1" customFormat="false" ht="15" hidden="false" customHeight="false" outlineLevel="0" collapsed="false">
      <c r="A1" s="18" t="s">
        <v>374</v>
      </c>
      <c r="B1" s="18" t="s">
        <v>375</v>
      </c>
      <c r="C1" s="18" t="s">
        <v>376</v>
      </c>
    </row>
    <row r="2" customFormat="false" ht="23.85" hidden="false" customHeight="false" outlineLevel="0" collapsed="false">
      <c r="A2" s="29" t="s">
        <v>377</v>
      </c>
      <c r="B2" s="20" t="s">
        <v>378</v>
      </c>
      <c r="C2" s="20" t="s">
        <v>379</v>
      </c>
    </row>
    <row r="3" customFormat="false" ht="23.85" hidden="false" customHeight="false" outlineLevel="0" collapsed="false">
      <c r="A3" s="29" t="s">
        <v>380</v>
      </c>
      <c r="B3" s="20" t="s">
        <v>381</v>
      </c>
      <c r="C3" s="20" t="s">
        <v>382</v>
      </c>
    </row>
    <row r="4" customFormat="false" ht="35.05" hidden="false" customHeight="false" outlineLevel="0" collapsed="false">
      <c r="A4" s="29" t="s">
        <v>383</v>
      </c>
      <c r="B4" s="20" t="s">
        <v>384</v>
      </c>
      <c r="C4" s="20" t="s">
        <v>385</v>
      </c>
    </row>
    <row r="5" customFormat="false" ht="35.05" hidden="false" customHeight="false" outlineLevel="0" collapsed="false">
      <c r="A5" s="29" t="s">
        <v>386</v>
      </c>
      <c r="B5" s="20" t="s">
        <v>387</v>
      </c>
      <c r="C5" s="20" t="s">
        <v>388</v>
      </c>
    </row>
    <row r="6" customFormat="false" ht="23.85" hidden="false" customHeight="false" outlineLevel="0" collapsed="false">
      <c r="A6" s="29" t="s">
        <v>389</v>
      </c>
      <c r="B6" s="20" t="s">
        <v>390</v>
      </c>
      <c r="C6" s="20" t="s">
        <v>391</v>
      </c>
    </row>
    <row r="7" customFormat="false" ht="23.85" hidden="false" customHeight="false" outlineLevel="0" collapsed="false">
      <c r="A7" s="29" t="s">
        <v>392</v>
      </c>
      <c r="B7" s="20" t="s">
        <v>393</v>
      </c>
      <c r="C7" s="20" t="s">
        <v>394</v>
      </c>
    </row>
    <row r="8" customFormat="false" ht="15" hidden="false" customHeight="false" outlineLevel="0" collapsed="false">
      <c r="A8" s="29" t="s">
        <v>395</v>
      </c>
      <c r="B8" s="20" t="s">
        <v>396</v>
      </c>
      <c r="C8" s="20" t="s">
        <v>397</v>
      </c>
    </row>
    <row r="9" customFormat="false" ht="15" hidden="false" customHeight="false" outlineLevel="0" collapsed="false">
      <c r="A9" s="29" t="s">
        <v>398</v>
      </c>
      <c r="B9" s="20" t="s">
        <v>399</v>
      </c>
      <c r="C9" s="20" t="s">
        <v>400</v>
      </c>
    </row>
    <row r="10" customFormat="false" ht="23.85" hidden="false" customHeight="false" outlineLevel="0" collapsed="false">
      <c r="A10" s="29" t="s">
        <v>401</v>
      </c>
      <c r="B10" s="20" t="s">
        <v>402</v>
      </c>
      <c r="C10" s="20" t="s">
        <v>403</v>
      </c>
    </row>
    <row r="11" customFormat="false" ht="15" hidden="false" customHeight="false" outlineLevel="0" collapsed="false">
      <c r="A11" s="29" t="s">
        <v>404</v>
      </c>
      <c r="B11" s="20" t="s">
        <v>405</v>
      </c>
      <c r="C11" s="20" t="s">
        <v>406</v>
      </c>
    </row>
    <row r="12" customFormat="false" ht="23.85" hidden="false" customHeight="false" outlineLevel="0" collapsed="false">
      <c r="A12" s="29" t="s">
        <v>407</v>
      </c>
      <c r="B12" s="20" t="s">
        <v>408</v>
      </c>
      <c r="C12" s="20" t="s">
        <v>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6"/>
    <col collapsed="false" customWidth="true" hidden="false" outlineLevel="0" max="3" min="3" style="0" width="100"/>
  </cols>
  <sheetData>
    <row r="1" customFormat="false" ht="15" hidden="false" customHeight="false" outlineLevel="0" collapsed="false">
      <c r="A1" s="18" t="s">
        <v>410</v>
      </c>
      <c r="B1" s="18" t="s">
        <v>411</v>
      </c>
      <c r="C1" s="18" t="s">
        <v>412</v>
      </c>
    </row>
    <row r="2" customFormat="false" ht="23.85" hidden="false" customHeight="false" outlineLevel="0" collapsed="false">
      <c r="A2" s="29" t="s">
        <v>413</v>
      </c>
      <c r="B2" s="20" t="s">
        <v>414</v>
      </c>
      <c r="C2" s="20" t="s">
        <v>415</v>
      </c>
    </row>
    <row r="3" customFormat="false" ht="35.05" hidden="false" customHeight="false" outlineLevel="0" collapsed="false">
      <c r="A3" s="29" t="s">
        <v>413</v>
      </c>
      <c r="B3" s="20" t="s">
        <v>416</v>
      </c>
      <c r="C3" s="20" t="s">
        <v>417</v>
      </c>
    </row>
    <row r="4" customFormat="false" ht="23.85" hidden="false" customHeight="false" outlineLevel="0" collapsed="false">
      <c r="A4" s="29" t="s">
        <v>418</v>
      </c>
      <c r="B4" s="20" t="s">
        <v>419</v>
      </c>
      <c r="C4" s="20" t="s">
        <v>420</v>
      </c>
    </row>
    <row r="5" customFormat="false" ht="15" hidden="false" customHeight="false" outlineLevel="0" collapsed="false">
      <c r="A5" s="29" t="s">
        <v>421</v>
      </c>
      <c r="B5" s="20" t="s">
        <v>422</v>
      </c>
      <c r="C5" s="20" t="s">
        <v>423</v>
      </c>
    </row>
    <row r="6" customFormat="false" ht="15" hidden="false" customHeight="false" outlineLevel="0" collapsed="false">
      <c r="A6" s="29" t="s">
        <v>421</v>
      </c>
      <c r="B6" s="20" t="s">
        <v>424</v>
      </c>
      <c r="C6" s="20" t="s">
        <v>425</v>
      </c>
    </row>
    <row r="7" customFormat="false" ht="15" hidden="false" customHeight="false" outlineLevel="0" collapsed="false">
      <c r="A7" s="29" t="s">
        <v>421</v>
      </c>
      <c r="B7" s="20" t="s">
        <v>426</v>
      </c>
      <c r="C7" s="20" t="s">
        <v>427</v>
      </c>
    </row>
    <row r="8" customFormat="false" ht="23.85" hidden="false" customHeight="false" outlineLevel="0" collapsed="false">
      <c r="A8" s="29" t="s">
        <v>428</v>
      </c>
      <c r="B8" s="20" t="s">
        <v>429</v>
      </c>
      <c r="C8" s="20" t="s">
        <v>430</v>
      </c>
    </row>
    <row r="9" customFormat="false" ht="23.85" hidden="false" customHeight="false" outlineLevel="0" collapsed="false">
      <c r="A9" s="29" t="s">
        <v>421</v>
      </c>
      <c r="B9" s="20" t="s">
        <v>431</v>
      </c>
      <c r="C9" s="20" t="s">
        <v>432</v>
      </c>
    </row>
    <row r="10" customFormat="false" ht="23.85" hidden="false" customHeight="false" outlineLevel="0" collapsed="false">
      <c r="A10" s="29" t="s">
        <v>421</v>
      </c>
      <c r="B10" s="20" t="s">
        <v>433</v>
      </c>
      <c r="C10" s="20" t="s">
        <v>434</v>
      </c>
    </row>
    <row r="11" customFormat="false" ht="15" hidden="false" customHeight="false" outlineLevel="0" collapsed="false">
      <c r="A11" s="29" t="s">
        <v>435</v>
      </c>
      <c r="B11" s="20" t="s">
        <v>436</v>
      </c>
      <c r="C11" s="20" t="s">
        <v>437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2026-10-08T13:59:31Z</dcterms:created>
  <dc:creator>openpyxl</dc:creator>
  <dc:description/>
  <dc:language>en-US</dc:language>
  <cp:lastModifiedBy/>
  <dcterms:modified xsi:type="dcterms:W3CDTF">2026-10-08T13:59:31Z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